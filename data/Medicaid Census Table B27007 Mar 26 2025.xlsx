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filterPrivacy="1"/>
  <xr:revisionPtr revIDLastSave="0" documentId="8_{4A7D35F5-7F2E-7749-B717-B49239C87724}" xr6:coauthVersionLast="47" xr6:coauthVersionMax="47" xr10:uidLastSave="{00000000-0000-0000-0000-000000000000}"/>
  <bookViews>
    <workbookView xWindow="0" yWindow="760" windowWidth="30240" windowHeight="17180" activeTab="1" xr2:uid="{00000000-000D-0000-FFFF-FFFF00000000}"/>
  </bookViews>
  <sheets>
    <sheet name="Information" sheetId="1" r:id="rId1"/>
    <sheet name="Data" sheetId="2" r:id="rId2"/>
  </sheets>
  <definedNames>
    <definedName name="_xlnm.Print_Titles" localSheetId="1">Data!$A:$A,Data!$1:$2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 l="1"/>
  <c r="H7" i="2"/>
  <c r="H9" i="2"/>
  <c r="G9" i="2"/>
  <c r="G7" i="2"/>
  <c r="F9" i="2"/>
  <c r="F7" i="2"/>
</calcChain>
</file>

<file path=xl/sharedStrings.xml><?xml version="1.0" encoding="utf-8"?>
<sst xmlns="http://schemas.openxmlformats.org/spreadsheetml/2006/main" count="247" uniqueCount="183">
  <si>
    <t>Medicaid/Means-Tested Public Coverage by Sex by Age</t>
  </si>
  <si>
    <t>Note: The table shown may have been modified by user selections. Some information may be missing.</t>
  </si>
  <si>
    <t>DATA NOTES</t>
  </si>
  <si>
    <t/>
  </si>
  <si>
    <t>TABLE ID:</t>
  </si>
  <si>
    <t>B27007</t>
  </si>
  <si>
    <t>SURVEY/PROGRAM:</t>
  </si>
  <si>
    <t>American Community Survey</t>
  </si>
  <si>
    <t>VINTAGE:</t>
  </si>
  <si>
    <t>2023</t>
  </si>
  <si>
    <t>DATASET:</t>
  </si>
  <si>
    <t>ACSDT1Y2023</t>
  </si>
  <si>
    <t>PRODUCT:</t>
  </si>
  <si>
    <t>ACS 1-Year Estimates Detailed Tables</t>
  </si>
  <si>
    <t>UNIVERSE:</t>
  </si>
  <si>
    <t>Civilian noninstitutionalized population</t>
  </si>
  <si>
    <t>MLA:</t>
  </si>
  <si>
    <t>U.S. Census Bureau, U.S. Department of Commerce. "Medicaid/Means-Tested Public Coverage by Sex by Age." American Community Survey, ACS 1-Year Estimates Detailed Tables, Table B27007, 2023, https://data.census.gov/table/ACSDT1Y2023.B27007?q=Medicaid. Accessed on March 26, 2025.</t>
  </si>
  <si>
    <t>FTP URL:</t>
  </si>
  <si>
    <t>None</t>
  </si>
  <si>
    <t>API URL:</t>
  </si>
  <si>
    <t>https://api.census.gov/data/2023/acs/acs1</t>
  </si>
  <si>
    <t>USER SELECTIONS</t>
  </si>
  <si>
    <t>EXCLUDED COLUMNS</t>
  </si>
  <si>
    <t>APPLIED FILTERS</t>
  </si>
  <si>
    <t>APPLIED SORTS</t>
  </si>
  <si>
    <t>PIVOT &amp; GROUPING</t>
  </si>
  <si>
    <t>PIVOT COLUMNS</t>
  </si>
  <si>
    <t>PIVOT MODE</t>
  </si>
  <si>
    <t>Off</t>
  </si>
  <si>
    <t>ROW GROUPS</t>
  </si>
  <si>
    <t>VALUE COLUMNS</t>
  </si>
  <si>
    <t>WEB ADDRESS</t>
  </si>
  <si>
    <t>https://data.census.gov/table/ACSDT1Y2023.B27007?q=Medicaid</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</si>
  <si>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</si>
  <si>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</si>
  <si>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</si>
  <si>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2023 American Community Survey 1-Year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</si>
  <si>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</si>
  <si>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</si>
  <si>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</si>
  <si>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The health insurance coverage category names were modified in 2010. See https://www.census.gov/topics/health/health-insurance/about/glossary.html#par_textimage_18 for a list of the insurance type definitions.</t>
  </si>
  <si>
    <t>Beginning in 2017, selected variable categories were updated, including age-categories, income-to-poverty ratio (IPR) categories, and the age universe for certain employment and education variables. See user note entitled "Health Insurance Table Updates" for further details.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</si>
  <si>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</si>
  <si>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</si>
  <si>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</si>
  <si>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United States</t>
  </si>
  <si>
    <t>Label</t>
  </si>
  <si>
    <t>Estimate</t>
  </si>
  <si>
    <t>Margin of Error</t>
  </si>
  <si>
    <t>Total:</t>
  </si>
  <si>
    <t>329,987,997</t>
  </si>
  <si>
    <t>±20,494</t>
  </si>
  <si>
    <t>Male:</t>
  </si>
  <si>
    <t>162,207,326</t>
  </si>
  <si>
    <t>±37,874</t>
  </si>
  <si>
    <t>Under 6 years:</t>
  </si>
  <si>
    <t>11,312,928</t>
  </si>
  <si>
    <t>±36,107</t>
  </si>
  <si>
    <t>With Medicaid/means-tested public coverage</t>
  </si>
  <si>
    <t>4,760,607</t>
  </si>
  <si>
    <t>±44,208</t>
  </si>
  <si>
    <t>No Medicaid/means-tested public coverage</t>
  </si>
  <si>
    <t>6,552,321</t>
  </si>
  <si>
    <t>±41,784</t>
  </si>
  <si>
    <t>6 to 18 years:</t>
  </si>
  <si>
    <t>28,137,357</t>
  </si>
  <si>
    <t>±46,697</t>
  </si>
  <si>
    <t>10,618,954</t>
  </si>
  <si>
    <t>±79,633</t>
  </si>
  <si>
    <t>17,518,403</t>
  </si>
  <si>
    <t>±84,747</t>
  </si>
  <si>
    <t>19 to 25 years:</t>
  </si>
  <si>
    <t>14,880,694</t>
  </si>
  <si>
    <t>±47,923</t>
  </si>
  <si>
    <t>2,574,513</t>
  </si>
  <si>
    <t>±35,337</t>
  </si>
  <si>
    <t>12,306,181</t>
  </si>
  <si>
    <t>±53,950</t>
  </si>
  <si>
    <t>26 to 34 years:</t>
  </si>
  <si>
    <t>19,894,372</t>
  </si>
  <si>
    <t>±38,597</t>
  </si>
  <si>
    <t>2,823,490</t>
  </si>
  <si>
    <t>±33,961</t>
  </si>
  <si>
    <t>17,070,882</t>
  </si>
  <si>
    <t>±45,496</t>
  </si>
  <si>
    <t>35 to 44 years:</t>
  </si>
  <si>
    <t>21,782,512</t>
  </si>
  <si>
    <t>±26,901</t>
  </si>
  <si>
    <t>2,867,737</t>
  </si>
  <si>
    <t>±30,577</t>
  </si>
  <si>
    <t>18,914,775</t>
  </si>
  <si>
    <t>±39,315</t>
  </si>
  <si>
    <t>45 to 54 years:</t>
  </si>
  <si>
    <t>19,781,763</t>
  </si>
  <si>
    <t>±24,833</t>
  </si>
  <si>
    <t>2,430,216</t>
  </si>
  <si>
    <t>±26,002</t>
  </si>
  <si>
    <t>17,351,547</t>
  </si>
  <si>
    <t>±37,859</t>
  </si>
  <si>
    <t>55 to 64 years:</t>
  </si>
  <si>
    <t>20,172,934</t>
  </si>
  <si>
    <t>±14,610</t>
  </si>
  <si>
    <t>2,967,506</t>
  </si>
  <si>
    <t>±26,515</t>
  </si>
  <si>
    <t>17,205,428</t>
  </si>
  <si>
    <t>±30,129</t>
  </si>
  <si>
    <t>65 to 74 years:</t>
  </si>
  <si>
    <t>16,154,486</t>
  </si>
  <si>
    <t>±15,431</t>
  </si>
  <si>
    <t>2,099,674</t>
  </si>
  <si>
    <t>±22,915</t>
  </si>
  <si>
    <t>14,054,812</t>
  </si>
  <si>
    <t>±27,621</t>
  </si>
  <si>
    <t>75 years and over:</t>
  </si>
  <si>
    <t>10,090,280</t>
  </si>
  <si>
    <t>±12,528</t>
  </si>
  <si>
    <t>1,320,400</t>
  </si>
  <si>
    <t>±16,652</t>
  </si>
  <si>
    <t>8,769,880</t>
  </si>
  <si>
    <t>±19,490</t>
  </si>
  <si>
    <t>Female:</t>
  </si>
  <si>
    <t>167,780,671</t>
  </si>
  <si>
    <t>±36,399</t>
  </si>
  <si>
    <t>10,801,610</t>
  </si>
  <si>
    <t>±31,995</t>
  </si>
  <si>
    <t>4,551,576</t>
  </si>
  <si>
    <t>±43,528</t>
  </si>
  <si>
    <t>6,250,034</t>
  </si>
  <si>
    <t>±44,402</t>
  </si>
  <si>
    <t>26,805,348</t>
  </si>
  <si>
    <t>±38,193</t>
  </si>
  <si>
    <t>10,085,376</t>
  </si>
  <si>
    <t>±76,362</t>
  </si>
  <si>
    <t>16,719,972</t>
  </si>
  <si>
    <t>±70,218</t>
  </si>
  <si>
    <t>14,667,380</t>
  </si>
  <si>
    <t>±40,828</t>
  </si>
  <si>
    <t>3,223,634</t>
  </si>
  <si>
    <t>±37,962</t>
  </si>
  <si>
    <t>11,443,746</t>
  </si>
  <si>
    <t>±43,547</t>
  </si>
  <si>
    <t>20,161,692</t>
  </si>
  <si>
    <t>±36,585</t>
  </si>
  <si>
    <t>4,380,720</t>
  </si>
  <si>
    <t>±38,715</t>
  </si>
  <si>
    <t>15,780,972</t>
  </si>
  <si>
    <t>±48,893</t>
  </si>
  <si>
    <t>22,123,033</t>
  </si>
  <si>
    <t>±23,509</t>
  </si>
  <si>
    <t>4,062,107</t>
  </si>
  <si>
    <t>±38,559</t>
  </si>
  <si>
    <t>18,060,926</t>
  </si>
  <si>
    <t>±38,207</t>
  </si>
  <si>
    <t>20,268,340</t>
  </si>
  <si>
    <t>±20,250</t>
  </si>
  <si>
    <t>3,069,882</t>
  </si>
  <si>
    <t>±26,863</t>
  </si>
  <si>
    <t>17,198,458</t>
  </si>
  <si>
    <t>±36,610</t>
  </si>
  <si>
    <t>21,306,593</t>
  </si>
  <si>
    <t>±15,305</t>
  </si>
  <si>
    <t>3,550,000</t>
  </si>
  <si>
    <t>±31,323</t>
  </si>
  <si>
    <t>17,756,593</t>
  </si>
  <si>
    <t>±37,626</t>
  </si>
  <si>
    <t>18,248,577</t>
  </si>
  <si>
    <t>±18,537</t>
  </si>
  <si>
    <t>2,708,575</t>
  </si>
  <si>
    <t>±23,970</t>
  </si>
  <si>
    <t>15,540,002</t>
  </si>
  <si>
    <t>±29,748</t>
  </si>
  <si>
    <t>13,398,098</t>
  </si>
  <si>
    <t>±11,350</t>
  </si>
  <si>
    <t>2,232,971</t>
  </si>
  <si>
    <t>±23,765</t>
  </si>
  <si>
    <t>11,165,127</t>
  </si>
  <si>
    <t>±22,754</t>
  </si>
  <si>
    <t>All</t>
  </si>
  <si>
    <t>Male</t>
  </si>
  <si>
    <t>Female</t>
  </si>
  <si>
    <t>19--65</t>
  </si>
  <si>
    <t>19--55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</si>
</sst>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amily val="2"/>
    </font>
    <font>
      <b/>
      <sz val="11"/>
      <name val="Calibri"/>
      <family val="2"/>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5"/>
  <sheetViews>
    <sheetView topLeftCell="A11" workbookViewId="0">
      <selection sqref="A1:B1"/>
    </sheetView>
  </sheetViews>
  <sheetFormatPr baseColWidth="10" defaultColWidth="8.83203125" defaultRowHeight="15" x14ac:dyDescent="0.2"/>
  <cols>
    <col min="1" max="1" width="25" style="1" customWidth="1"/>
    <col min="2" max="2" width="80" style="1" customWidth="1"/>
    <col min="3" max="3" width="20" customWidth="1"/>
  </cols>
  <sheetData>
    <row r="1" spans="1:3" ht="80" customHeight="1" x14ac:dyDescent="0.2">
      <c r="A1" s="9" t="s">
        <v>0</v>
      </c>
      <c r="B1" s="9"/>
      <c r="C1" s="2"/>
    </row>
    <row r="2" spans="1:3" x14ac:dyDescent="0.2">
      <c r="A2" s="10"/>
      <c r="B2" s="10"/>
      <c r="C2" s="10"/>
    </row>
    <row r="3" spans="1:3" x14ac:dyDescent="0.2">
      <c r="A3" s="11" t="s">
        <v>1</v>
      </c>
      <c r="B3" s="11"/>
      <c r="C3" s="11"/>
    </row>
    <row r="4" spans="1:3" x14ac:dyDescent="0.2">
      <c r="A4" s="10"/>
      <c r="B4" s="10"/>
      <c r="C4" s="10"/>
    </row>
    <row r="5" spans="1:3" ht="21.25" customHeight="1" x14ac:dyDescent="0.2">
      <c r="A5" s="3" t="s">
        <v>2</v>
      </c>
      <c r="B5" s="10" t="s">
        <v>3</v>
      </c>
      <c r="C5" s="10"/>
    </row>
    <row r="6" spans="1:3" ht="21.25" customHeight="1" x14ac:dyDescent="0.2">
      <c r="A6" s="1" t="s">
        <v>4</v>
      </c>
      <c r="B6" s="10" t="s">
        <v>5</v>
      </c>
      <c r="C6" s="10"/>
    </row>
    <row r="7" spans="1:3" ht="21.25" customHeight="1" x14ac:dyDescent="0.2">
      <c r="A7" s="1" t="s">
        <v>6</v>
      </c>
      <c r="B7" s="10" t="s">
        <v>7</v>
      </c>
      <c r="C7" s="10"/>
    </row>
    <row r="8" spans="1:3" ht="21.25" customHeight="1" x14ac:dyDescent="0.2">
      <c r="A8" s="1" t="s">
        <v>8</v>
      </c>
      <c r="B8" s="10" t="s">
        <v>9</v>
      </c>
      <c r="C8" s="10"/>
    </row>
    <row r="9" spans="1:3" ht="21.25" customHeight="1" x14ac:dyDescent="0.2">
      <c r="A9" s="1" t="s">
        <v>10</v>
      </c>
      <c r="B9" s="10" t="s">
        <v>11</v>
      </c>
      <c r="C9" s="10"/>
    </row>
    <row r="10" spans="1:3" ht="21.25" customHeight="1" x14ac:dyDescent="0.2">
      <c r="A10" s="1" t="s">
        <v>12</v>
      </c>
      <c r="B10" s="10" t="s">
        <v>13</v>
      </c>
      <c r="C10" s="10"/>
    </row>
    <row r="11" spans="1:3" ht="21.25" customHeight="1" x14ac:dyDescent="0.2">
      <c r="A11" s="1" t="s">
        <v>14</v>
      </c>
      <c r="B11" s="10" t="s">
        <v>15</v>
      </c>
      <c r="C11" s="10"/>
    </row>
    <row r="12" spans="1:3" ht="64" customHeight="1" x14ac:dyDescent="0.2">
      <c r="A12" s="1" t="s">
        <v>16</v>
      </c>
      <c r="B12" s="10" t="s">
        <v>17</v>
      </c>
      <c r="C12" s="10"/>
    </row>
    <row r="13" spans="1:3" ht="21.25" customHeight="1" x14ac:dyDescent="0.2">
      <c r="A13" s="1" t="s">
        <v>18</v>
      </c>
      <c r="B13" s="10" t="s">
        <v>19</v>
      </c>
      <c r="C13" s="10"/>
    </row>
    <row r="14" spans="1:3" ht="21.25" customHeight="1" x14ac:dyDescent="0.2">
      <c r="A14" s="1" t="s">
        <v>20</v>
      </c>
      <c r="B14" s="10" t="s">
        <v>21</v>
      </c>
      <c r="C14" s="10"/>
    </row>
    <row r="15" spans="1:3" x14ac:dyDescent="0.2">
      <c r="A15" s="10"/>
      <c r="B15" s="10"/>
      <c r="C15" s="10"/>
    </row>
    <row r="16" spans="1:3" ht="21.25" customHeight="1" x14ac:dyDescent="0.2">
      <c r="A16" s="3" t="s">
        <v>22</v>
      </c>
      <c r="B16" s="10" t="s">
        <v>19</v>
      </c>
      <c r="C16" s="10"/>
    </row>
    <row r="17" spans="1:3" x14ac:dyDescent="0.2">
      <c r="A17" s="10"/>
      <c r="B17" s="10"/>
      <c r="C17" s="10"/>
    </row>
    <row r="18" spans="1:3" ht="21.25" customHeight="1" x14ac:dyDescent="0.2">
      <c r="A18" s="3" t="s">
        <v>23</v>
      </c>
      <c r="B18" s="10" t="s">
        <v>19</v>
      </c>
      <c r="C18" s="10"/>
    </row>
    <row r="19" spans="1:3" x14ac:dyDescent="0.2">
      <c r="A19" s="10"/>
      <c r="B19" s="10"/>
      <c r="C19" s="10"/>
    </row>
    <row r="20" spans="1:3" ht="21.25" customHeight="1" x14ac:dyDescent="0.2">
      <c r="A20" s="3" t="s">
        <v>24</v>
      </c>
      <c r="B20" s="10" t="s">
        <v>19</v>
      </c>
      <c r="C20" s="10"/>
    </row>
    <row r="21" spans="1:3" x14ac:dyDescent="0.2">
      <c r="A21" s="10"/>
      <c r="B21" s="10"/>
      <c r="C21" s="10"/>
    </row>
    <row r="22" spans="1:3" ht="21.25" customHeight="1" x14ac:dyDescent="0.2">
      <c r="A22" s="3" t="s">
        <v>25</v>
      </c>
      <c r="B22" s="10" t="s">
        <v>19</v>
      </c>
      <c r="C22" s="10"/>
    </row>
    <row r="23" spans="1:3" x14ac:dyDescent="0.2">
      <c r="A23" s="10"/>
      <c r="B23" s="10"/>
      <c r="C23" s="10"/>
    </row>
    <row r="24" spans="1:3" ht="21.25" customHeight="1" x14ac:dyDescent="0.2">
      <c r="A24" s="3" t="s">
        <v>26</v>
      </c>
      <c r="B24" s="10" t="s">
        <v>3</v>
      </c>
      <c r="C24" s="10"/>
    </row>
    <row r="25" spans="1:3" ht="21.25" customHeight="1" x14ac:dyDescent="0.2">
      <c r="A25" s="1" t="s">
        <v>27</v>
      </c>
      <c r="B25" s="10" t="s">
        <v>19</v>
      </c>
      <c r="C25" s="10"/>
    </row>
    <row r="26" spans="1:3" ht="21.25" customHeight="1" x14ac:dyDescent="0.2">
      <c r="A26" s="1" t="s">
        <v>28</v>
      </c>
      <c r="B26" s="10" t="s">
        <v>29</v>
      </c>
      <c r="C26" s="10"/>
    </row>
    <row r="27" spans="1:3" ht="21.25" customHeight="1" x14ac:dyDescent="0.2">
      <c r="A27" s="1" t="s">
        <v>30</v>
      </c>
      <c r="B27" s="10" t="s">
        <v>19</v>
      </c>
      <c r="C27" s="10"/>
    </row>
    <row r="28" spans="1:3" ht="21.25" customHeight="1" x14ac:dyDescent="0.2">
      <c r="A28" s="1" t="s">
        <v>31</v>
      </c>
      <c r="B28" s="10" t="s">
        <v>19</v>
      </c>
      <c r="C28" s="10"/>
    </row>
    <row r="29" spans="1:3" x14ac:dyDescent="0.2">
      <c r="A29" s="10"/>
      <c r="B29" s="10"/>
      <c r="C29" s="10"/>
    </row>
    <row r="30" spans="1:3" ht="21.25" customHeight="1" x14ac:dyDescent="0.2">
      <c r="A30" s="3" t="s">
        <v>32</v>
      </c>
      <c r="B30" s="10" t="s">
        <v>33</v>
      </c>
      <c r="C30" s="10"/>
    </row>
    <row r="31" spans="1:3" x14ac:dyDescent="0.2">
      <c r="A31" s="10"/>
      <c r="B31" s="10"/>
      <c r="C31" s="10"/>
    </row>
    <row r="32" spans="1:3" ht="21.25" customHeight="1" x14ac:dyDescent="0.2">
      <c r="A32" s="3" t="s">
        <v>34</v>
      </c>
      <c r="B32" s="10" t="s">
        <v>3</v>
      </c>
      <c r="C32" s="10"/>
    </row>
    <row r="33" spans="1:3" ht="106.75" customHeight="1" x14ac:dyDescent="0.2">
      <c r="A33" s="1" t="s">
        <v>3</v>
      </c>
      <c r="B33" s="10" t="s">
        <v>35</v>
      </c>
      <c r="C33" s="10"/>
    </row>
    <row r="34" spans="1:3" ht="170.75" customHeight="1" x14ac:dyDescent="0.2">
      <c r="A34" s="1" t="s">
        <v>3</v>
      </c>
      <c r="B34" s="10" t="s">
        <v>36</v>
      </c>
      <c r="C34" s="10"/>
    </row>
    <row r="35" spans="1:3" ht="42.75" customHeight="1" x14ac:dyDescent="0.2">
      <c r="A35" s="1" t="s">
        <v>3</v>
      </c>
      <c r="B35" s="10" t="s">
        <v>37</v>
      </c>
      <c r="C35" s="10"/>
    </row>
    <row r="36" spans="1:3" ht="42.75" customHeight="1" x14ac:dyDescent="0.2">
      <c r="A36" s="1" t="s">
        <v>3</v>
      </c>
      <c r="B36" s="10" t="s">
        <v>38</v>
      </c>
      <c r="C36" s="10"/>
    </row>
    <row r="37" spans="1:3" ht="149.25" customHeight="1" x14ac:dyDescent="0.2">
      <c r="A37" s="1" t="s">
        <v>3</v>
      </c>
      <c r="B37" s="10" t="s">
        <v>39</v>
      </c>
      <c r="C37" s="10"/>
    </row>
    <row r="38" spans="1:3" ht="106.75" customHeight="1" x14ac:dyDescent="0.2">
      <c r="A38" s="1" t="s">
        <v>3</v>
      </c>
      <c r="B38" s="10" t="s">
        <v>40</v>
      </c>
      <c r="C38" s="10"/>
    </row>
    <row r="39" spans="1:3" ht="64" customHeight="1" x14ac:dyDescent="0.2">
      <c r="A39" s="1" t="s">
        <v>3</v>
      </c>
      <c r="B39" s="10" t="s">
        <v>41</v>
      </c>
      <c r="C39" s="10"/>
    </row>
    <row r="40" spans="1:3" ht="64" customHeight="1" x14ac:dyDescent="0.2">
      <c r="A40" s="1" t="s">
        <v>3</v>
      </c>
      <c r="B40" s="10" t="s">
        <v>42</v>
      </c>
      <c r="C40" s="10"/>
    </row>
    <row r="41" spans="1:3" ht="64" customHeight="1" x14ac:dyDescent="0.2">
      <c r="A41" s="1" t="s">
        <v>3</v>
      </c>
      <c r="B41" s="10" t="s">
        <v>43</v>
      </c>
      <c r="C41" s="10"/>
    </row>
    <row r="42" spans="1:3" ht="256" customHeight="1" x14ac:dyDescent="0.2">
      <c r="A42" s="1" t="s">
        <v>3</v>
      </c>
      <c r="B42" s="10" t="s">
        <v>44</v>
      </c>
      <c r="C42" s="10"/>
    </row>
    <row r="43" spans="1:3" x14ac:dyDescent="0.2">
      <c r="A43" s="10"/>
      <c r="B43" s="10"/>
      <c r="C43" s="10"/>
    </row>
    <row r="44" spans="1:3" ht="21.25" customHeight="1" x14ac:dyDescent="0.2">
      <c r="A44" s="3" t="s">
        <v>45</v>
      </c>
      <c r="B44" s="10" t="s">
        <v>19</v>
      </c>
      <c r="C44" s="10"/>
    </row>
    <row r="45" spans="1:3" x14ac:dyDescent="0.2">
      <c r="A45" s="10"/>
      <c r="B45" s="10"/>
      <c r="C45" s="10"/>
    </row>
  </sheetData>
  <mergeCells count="45">
    <mergeCell ref="B41:C41"/>
    <mergeCell ref="B42:C42"/>
    <mergeCell ref="A43:C43"/>
    <mergeCell ref="B44:C44"/>
    <mergeCell ref="A45:C45"/>
    <mergeCell ref="B36:C36"/>
    <mergeCell ref="B37:C37"/>
    <mergeCell ref="B38:C38"/>
    <mergeCell ref="B39:C39"/>
    <mergeCell ref="B40:C40"/>
    <mergeCell ref="A31:C31"/>
    <mergeCell ref="B32:C32"/>
    <mergeCell ref="B33:C33"/>
    <mergeCell ref="B34:C34"/>
    <mergeCell ref="B35:C35"/>
    <mergeCell ref="B26:C26"/>
    <mergeCell ref="B27:C27"/>
    <mergeCell ref="B28:C28"/>
    <mergeCell ref="A29:C29"/>
    <mergeCell ref="B30:C30"/>
    <mergeCell ref="A21:C21"/>
    <mergeCell ref="B22:C22"/>
    <mergeCell ref="A23:C23"/>
    <mergeCell ref="B24:C24"/>
    <mergeCell ref="B25:C25"/>
    <mergeCell ref="B16:C16"/>
    <mergeCell ref="A17:C17"/>
    <mergeCell ref="B18:C18"/>
    <mergeCell ref="A19:C19"/>
    <mergeCell ref="B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ACSDT1Y2023.B27007</oddHeader>
    <oddFooter>&amp;L&amp;Bdata.census.gov&amp;B | Measuring America's People, Places, and Economy &amp;R&amp;P</oddFooter>
    <evenHeader>&amp;LTable: ACSDT1Y2023.B27007</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tabSelected="1" workbookViewId="0">
      <pane xSplit="1" ySplit="2" topLeftCell="B3" activePane="bottomRight" state="frozen"/>
      <selection pane="topRight"/>
      <selection pane="bottomLeft"/>
      <selection pane="bottomRight" activeCell="I11" sqref="I11"/>
    </sheetView>
  </sheetViews>
  <sheetFormatPr baseColWidth="10" defaultColWidth="8.83203125" defaultRowHeight="15" x14ac:dyDescent="0.2"/>
  <cols>
    <col min="1" max="1" width="63.5" style="4" customWidth="1"/>
    <col min="2" max="2" width="31.5" style="4" customWidth="1"/>
    <col min="3" max="3" width="32.6640625" style="4" customWidth="1"/>
    <col min="6" max="8" width="9.1640625" bestFit="1" customWidth="1"/>
  </cols>
  <sheetData>
    <row r="1" spans="1:9" ht="30" customHeight="1" x14ac:dyDescent="0.2">
      <c r="A1" s="5" t="s">
        <v>3</v>
      </c>
      <c r="B1" s="12" t="s">
        <v>46</v>
      </c>
      <c r="C1" s="12"/>
    </row>
    <row r="2" spans="1:9" ht="30" customHeight="1" x14ac:dyDescent="0.2">
      <c r="A2" s="5" t="s">
        <v>47</v>
      </c>
      <c r="B2" s="5" t="s">
        <v>48</v>
      </c>
      <c r="C2" s="5" t="s">
        <v>49</v>
      </c>
    </row>
    <row r="3" spans="1:9" ht="16" x14ac:dyDescent="0.2">
      <c r="A3" s="4" t="s">
        <v>50</v>
      </c>
      <c r="B3" s="4" t="s">
        <v>51</v>
      </c>
      <c r="C3" s="4" t="s">
        <v>52</v>
      </c>
    </row>
    <row r="4" spans="1:9" ht="16" x14ac:dyDescent="0.2">
      <c r="A4" s="6" t="s">
        <v>53</v>
      </c>
      <c r="B4" s="4" t="s">
        <v>54</v>
      </c>
      <c r="C4" s="4" t="s">
        <v>55</v>
      </c>
    </row>
    <row r="5" spans="1:9" ht="16" x14ac:dyDescent="0.2">
      <c r="A5" s="7" t="s">
        <v>56</v>
      </c>
      <c r="B5" s="4" t="s">
        <v>57</v>
      </c>
      <c r="C5" s="4" t="s">
        <v>58</v>
      </c>
    </row>
    <row r="6" spans="1:9" ht="32" x14ac:dyDescent="0.2">
      <c r="A6" s="8" t="s">
        <v>59</v>
      </c>
      <c r="B6" s="4" t="s">
        <v>60</v>
      </c>
      <c r="C6" s="4" t="s">
        <v>61</v>
      </c>
      <c r="F6" t="s">
        <v>179</v>
      </c>
      <c r="G6" t="s">
        <v>180</v>
      </c>
      <c r="H6" t="s">
        <v>178</v>
      </c>
    </row>
    <row r="7" spans="1:9" ht="32" x14ac:dyDescent="0.2">
      <c r="A7" s="8" t="s">
        <v>62</v>
      </c>
      <c r="B7" s="4" t="s">
        <v>63</v>
      </c>
      <c r="C7" s="4" t="s">
        <v>64</v>
      </c>
      <c r="E7" t="s">
        <v>181</v>
      </c>
      <c r="F7">
        <f xml:space="preserve"> B12+B15+B18+B21+B24</f>
        <v>13663462</v>
      </c>
      <c r="G7">
        <f>B40+B43+B46+B49+B52</f>
        <v>18286343</v>
      </c>
      <c r="H7">
        <f>SUM(F7,G7)</f>
        <v>31949805</v>
      </c>
    </row>
    <row r="8" spans="1:9" ht="16" x14ac:dyDescent="0.2">
      <c r="A8" s="7" t="s">
        <v>65</v>
      </c>
      <c r="B8" s="4" t="s">
        <v>66</v>
      </c>
      <c r="C8" s="4" t="s">
        <v>67</v>
      </c>
    </row>
    <row r="9" spans="1:9" ht="32" customHeight="1" x14ac:dyDescent="0.2">
      <c r="A9" s="8" t="s">
        <v>59</v>
      </c>
      <c r="B9" s="4" t="s">
        <v>68</v>
      </c>
      <c r="C9" s="4" t="s">
        <v>69</v>
      </c>
      <c r="E9" t="s">
        <v>182</v>
      </c>
      <c r="F9">
        <f xml:space="preserve"> B12+B15+B18+B21</f>
        <v>10695956</v>
      </c>
      <c r="G9">
        <f>B40+B43+B46+B49</f>
        <v>14736343</v>
      </c>
      <c r="H9">
        <f>SUM(F9,G9)</f>
        <v>25432299</v>
      </c>
    </row>
    <row r="10" spans="1:9" ht="16" x14ac:dyDescent="0.2">
      <c r="A10" s="8" t="s">
        <v>62</v>
      </c>
      <c r="B10" s="4" t="s">
        <v>70</v>
      </c>
      <c r="C10" s="4" t="s">
        <v>71</v>
      </c>
    </row>
    <row r="11" spans="1:9" ht="16" x14ac:dyDescent="0.2">
      <c r="A11" s="7" t="s">
        <v>72</v>
      </c>
      <c r="B11" s="4" t="s">
        <v>73</v>
      </c>
      <c r="C11" s="4" t="s">
        <v>74</v>
      </c>
      <c r="I11">
        <f>H9/H7</f>
        <v>0.79600795685607473</v>
      </c>
    </row>
    <row r="12" spans="1:9" ht="32" x14ac:dyDescent="0.2">
      <c r="A12" s="8" t="s">
        <v>59</v>
      </c>
      <c r="B12" s="4" t="s">
        <v>75</v>
      </c>
      <c r="C12" s="4" t="s">
        <v>76</v>
      </c>
    </row>
    <row r="13" spans="1:9" ht="32" x14ac:dyDescent="0.2">
      <c r="A13" s="8" t="s">
        <v>62</v>
      </c>
      <c r="B13" s="4" t="s">
        <v>77</v>
      </c>
      <c r="C13" s="4" t="s">
        <v>78</v>
      </c>
    </row>
    <row r="14" spans="1:9" ht="16" x14ac:dyDescent="0.2">
      <c r="A14" s="7" t="s">
        <v>79</v>
      </c>
      <c r="B14" s="4" t="s">
        <v>80</v>
      </c>
      <c r="C14" s="4" t="s">
        <v>81</v>
      </c>
    </row>
    <row r="15" spans="1:9" ht="32" x14ac:dyDescent="0.2">
      <c r="A15" s="8" t="s">
        <v>59</v>
      </c>
      <c r="B15" s="4" t="s">
        <v>82</v>
      </c>
      <c r="C15" s="4" t="s">
        <v>83</v>
      </c>
    </row>
    <row r="16" spans="1:9" ht="32" x14ac:dyDescent="0.2">
      <c r="A16" s="8" t="s">
        <v>62</v>
      </c>
      <c r="B16" s="4" t="s">
        <v>84</v>
      </c>
      <c r="C16" s="4" t="s">
        <v>85</v>
      </c>
    </row>
    <row r="17" spans="1:3" ht="16" x14ac:dyDescent="0.2">
      <c r="A17" s="7" t="s">
        <v>86</v>
      </c>
      <c r="B17" s="4" t="s">
        <v>87</v>
      </c>
      <c r="C17" s="4" t="s">
        <v>88</v>
      </c>
    </row>
    <row r="18" spans="1:3" ht="32" x14ac:dyDescent="0.2">
      <c r="A18" s="8" t="s">
        <v>59</v>
      </c>
      <c r="B18" s="4" t="s">
        <v>89</v>
      </c>
      <c r="C18" s="4" t="s">
        <v>90</v>
      </c>
    </row>
    <row r="19" spans="1:3" ht="32" x14ac:dyDescent="0.2">
      <c r="A19" s="8" t="s">
        <v>62</v>
      </c>
      <c r="B19" s="4" t="s">
        <v>91</v>
      </c>
      <c r="C19" s="4" t="s">
        <v>92</v>
      </c>
    </row>
    <row r="20" spans="1:3" ht="16" x14ac:dyDescent="0.2">
      <c r="A20" s="7" t="s">
        <v>93</v>
      </c>
      <c r="B20" s="4" t="s">
        <v>94</v>
      </c>
      <c r="C20" s="4" t="s">
        <v>95</v>
      </c>
    </row>
    <row r="21" spans="1:3" ht="32" x14ac:dyDescent="0.2">
      <c r="A21" s="8" t="s">
        <v>59</v>
      </c>
      <c r="B21" s="4" t="s">
        <v>96</v>
      </c>
      <c r="C21" s="4" t="s">
        <v>97</v>
      </c>
    </row>
    <row r="22" spans="1:3" ht="32" x14ac:dyDescent="0.2">
      <c r="A22" s="8" t="s">
        <v>62</v>
      </c>
      <c r="B22" s="4" t="s">
        <v>98</v>
      </c>
      <c r="C22" s="4" t="s">
        <v>99</v>
      </c>
    </row>
    <row r="23" spans="1:3" ht="16" x14ac:dyDescent="0.2">
      <c r="A23" s="7" t="s">
        <v>100</v>
      </c>
      <c r="B23" s="4" t="s">
        <v>101</v>
      </c>
      <c r="C23" s="4" t="s">
        <v>102</v>
      </c>
    </row>
    <row r="24" spans="1:3" ht="32" x14ac:dyDescent="0.2">
      <c r="A24" s="8" t="s">
        <v>59</v>
      </c>
      <c r="B24" s="4" t="s">
        <v>103</v>
      </c>
      <c r="C24" s="4" t="s">
        <v>104</v>
      </c>
    </row>
    <row r="25" spans="1:3" ht="32" x14ac:dyDescent="0.2">
      <c r="A25" s="8" t="s">
        <v>62</v>
      </c>
      <c r="B25" s="4" t="s">
        <v>105</v>
      </c>
      <c r="C25" s="4" t="s">
        <v>106</v>
      </c>
    </row>
    <row r="26" spans="1:3" ht="16" x14ac:dyDescent="0.2">
      <c r="A26" s="7" t="s">
        <v>107</v>
      </c>
      <c r="B26" s="4" t="s">
        <v>108</v>
      </c>
      <c r="C26" s="4" t="s">
        <v>109</v>
      </c>
    </row>
    <row r="27" spans="1:3" ht="32" x14ac:dyDescent="0.2">
      <c r="A27" s="8" t="s">
        <v>59</v>
      </c>
      <c r="B27" s="4" t="s">
        <v>110</v>
      </c>
      <c r="C27" s="4" t="s">
        <v>111</v>
      </c>
    </row>
    <row r="28" spans="1:3" ht="32" x14ac:dyDescent="0.2">
      <c r="A28" s="8" t="s">
        <v>62</v>
      </c>
      <c r="B28" s="4" t="s">
        <v>112</v>
      </c>
      <c r="C28" s="4" t="s">
        <v>113</v>
      </c>
    </row>
    <row r="29" spans="1:3" ht="16" x14ac:dyDescent="0.2">
      <c r="A29" s="7" t="s">
        <v>114</v>
      </c>
      <c r="B29" s="4" t="s">
        <v>115</v>
      </c>
      <c r="C29" s="4" t="s">
        <v>116</v>
      </c>
    </row>
    <row r="30" spans="1:3" ht="32" x14ac:dyDescent="0.2">
      <c r="A30" s="8" t="s">
        <v>59</v>
      </c>
      <c r="B30" s="4" t="s">
        <v>117</v>
      </c>
      <c r="C30" s="4" t="s">
        <v>118</v>
      </c>
    </row>
    <row r="31" spans="1:3" ht="32" x14ac:dyDescent="0.2">
      <c r="A31" s="8" t="s">
        <v>62</v>
      </c>
      <c r="B31" s="4" t="s">
        <v>119</v>
      </c>
      <c r="C31" s="4" t="s">
        <v>120</v>
      </c>
    </row>
    <row r="32" spans="1:3" ht="16" x14ac:dyDescent="0.2">
      <c r="A32" s="6" t="s">
        <v>121</v>
      </c>
      <c r="B32" s="4" t="s">
        <v>122</v>
      </c>
      <c r="C32" s="4" t="s">
        <v>123</v>
      </c>
    </row>
    <row r="33" spans="1:3" ht="16" x14ac:dyDescent="0.2">
      <c r="A33" s="7" t="s">
        <v>56</v>
      </c>
      <c r="B33" s="4" t="s">
        <v>124</v>
      </c>
      <c r="C33" s="4" t="s">
        <v>125</v>
      </c>
    </row>
    <row r="34" spans="1:3" ht="32" x14ac:dyDescent="0.2">
      <c r="A34" s="8" t="s">
        <v>59</v>
      </c>
      <c r="B34" s="4" t="s">
        <v>126</v>
      </c>
      <c r="C34" s="4" t="s">
        <v>127</v>
      </c>
    </row>
    <row r="35" spans="1:3" ht="32" x14ac:dyDescent="0.2">
      <c r="A35" s="8" t="s">
        <v>62</v>
      </c>
      <c r="B35" s="4" t="s">
        <v>128</v>
      </c>
      <c r="C35" s="4" t="s">
        <v>129</v>
      </c>
    </row>
    <row r="36" spans="1:3" ht="16" x14ac:dyDescent="0.2">
      <c r="A36" s="7" t="s">
        <v>65</v>
      </c>
      <c r="B36" s="4" t="s">
        <v>130</v>
      </c>
      <c r="C36" s="4" t="s">
        <v>131</v>
      </c>
    </row>
    <row r="37" spans="1:3" ht="32" x14ac:dyDescent="0.2">
      <c r="A37" s="8" t="s">
        <v>59</v>
      </c>
      <c r="B37" s="4" t="s">
        <v>132</v>
      </c>
      <c r="C37" s="4" t="s">
        <v>133</v>
      </c>
    </row>
    <row r="38" spans="1:3" ht="32" x14ac:dyDescent="0.2">
      <c r="A38" s="8" t="s">
        <v>62</v>
      </c>
      <c r="B38" s="4" t="s">
        <v>134</v>
      </c>
      <c r="C38" s="4" t="s">
        <v>135</v>
      </c>
    </row>
    <row r="39" spans="1:3" ht="16" x14ac:dyDescent="0.2">
      <c r="A39" s="7" t="s">
        <v>72</v>
      </c>
      <c r="B39" s="4" t="s">
        <v>136</v>
      </c>
      <c r="C39" s="4" t="s">
        <v>137</v>
      </c>
    </row>
    <row r="40" spans="1:3" ht="32" x14ac:dyDescent="0.2">
      <c r="A40" s="8" t="s">
        <v>59</v>
      </c>
      <c r="B40" s="4" t="s">
        <v>138</v>
      </c>
      <c r="C40" s="4" t="s">
        <v>139</v>
      </c>
    </row>
    <row r="41" spans="1:3" ht="32" x14ac:dyDescent="0.2">
      <c r="A41" s="8" t="s">
        <v>62</v>
      </c>
      <c r="B41" s="4" t="s">
        <v>140</v>
      </c>
      <c r="C41" s="4" t="s">
        <v>141</v>
      </c>
    </row>
    <row r="42" spans="1:3" ht="16" x14ac:dyDescent="0.2">
      <c r="A42" s="7" t="s">
        <v>79</v>
      </c>
      <c r="B42" s="4" t="s">
        <v>142</v>
      </c>
      <c r="C42" s="4" t="s">
        <v>143</v>
      </c>
    </row>
    <row r="43" spans="1:3" ht="32" x14ac:dyDescent="0.2">
      <c r="A43" s="8" t="s">
        <v>59</v>
      </c>
      <c r="B43" s="4" t="s">
        <v>144</v>
      </c>
      <c r="C43" s="4" t="s">
        <v>145</v>
      </c>
    </row>
    <row r="44" spans="1:3" ht="32" x14ac:dyDescent="0.2">
      <c r="A44" s="8" t="s">
        <v>62</v>
      </c>
      <c r="B44" s="4" t="s">
        <v>146</v>
      </c>
      <c r="C44" s="4" t="s">
        <v>147</v>
      </c>
    </row>
    <row r="45" spans="1:3" ht="16" x14ac:dyDescent="0.2">
      <c r="A45" s="7" t="s">
        <v>86</v>
      </c>
      <c r="B45" s="4" t="s">
        <v>148</v>
      </c>
      <c r="C45" s="4" t="s">
        <v>149</v>
      </c>
    </row>
    <row r="46" spans="1:3" ht="32" x14ac:dyDescent="0.2">
      <c r="A46" s="8" t="s">
        <v>59</v>
      </c>
      <c r="B46" s="4" t="s">
        <v>150</v>
      </c>
      <c r="C46" s="4" t="s">
        <v>151</v>
      </c>
    </row>
    <row r="47" spans="1:3" ht="32" x14ac:dyDescent="0.2">
      <c r="A47" s="8" t="s">
        <v>62</v>
      </c>
      <c r="B47" s="4" t="s">
        <v>152</v>
      </c>
      <c r="C47" s="4" t="s">
        <v>153</v>
      </c>
    </row>
    <row r="48" spans="1:3" ht="16" x14ac:dyDescent="0.2">
      <c r="A48" s="7" t="s">
        <v>93</v>
      </c>
      <c r="B48" s="4" t="s">
        <v>154</v>
      </c>
      <c r="C48" s="4" t="s">
        <v>155</v>
      </c>
    </row>
    <row r="49" spans="1:3" ht="32" x14ac:dyDescent="0.2">
      <c r="A49" s="8" t="s">
        <v>59</v>
      </c>
      <c r="B49" s="4" t="s">
        <v>156</v>
      </c>
      <c r="C49" s="4" t="s">
        <v>157</v>
      </c>
    </row>
    <row r="50" spans="1:3" ht="32" x14ac:dyDescent="0.2">
      <c r="A50" s="8" t="s">
        <v>62</v>
      </c>
      <c r="B50" s="4" t="s">
        <v>158</v>
      </c>
      <c r="C50" s="4" t="s">
        <v>159</v>
      </c>
    </row>
    <row r="51" spans="1:3" ht="16" x14ac:dyDescent="0.2">
      <c r="A51" s="7" t="s">
        <v>100</v>
      </c>
      <c r="B51" s="4" t="s">
        <v>160</v>
      </c>
      <c r="C51" s="4" t="s">
        <v>161</v>
      </c>
    </row>
    <row r="52" spans="1:3" ht="32" x14ac:dyDescent="0.2">
      <c r="A52" s="8" t="s">
        <v>59</v>
      </c>
      <c r="B52" s="4" t="s">
        <v>162</v>
      </c>
      <c r="C52" s="4" t="s">
        <v>163</v>
      </c>
    </row>
    <row r="53" spans="1:3" ht="32" x14ac:dyDescent="0.2">
      <c r="A53" s="8" t="s">
        <v>62</v>
      </c>
      <c r="B53" s="4" t="s">
        <v>164</v>
      </c>
      <c r="C53" s="4" t="s">
        <v>165</v>
      </c>
    </row>
    <row r="54" spans="1:3" ht="16" x14ac:dyDescent="0.2">
      <c r="A54" s="7" t="s">
        <v>107</v>
      </c>
      <c r="B54" s="4" t="s">
        <v>166</v>
      </c>
      <c r="C54" s="4" t="s">
        <v>167</v>
      </c>
    </row>
    <row r="55" spans="1:3" ht="32" x14ac:dyDescent="0.2">
      <c r="A55" s="8" t="s">
        <v>59</v>
      </c>
      <c r="B55" s="4" t="s">
        <v>168</v>
      </c>
      <c r="C55" s="4" t="s">
        <v>169</v>
      </c>
    </row>
    <row r="56" spans="1:3" ht="32" x14ac:dyDescent="0.2">
      <c r="A56" s="8" t="s">
        <v>62</v>
      </c>
      <c r="B56" s="4" t="s">
        <v>170</v>
      </c>
      <c r="C56" s="4" t="s">
        <v>171</v>
      </c>
    </row>
    <row r="57" spans="1:3" ht="16" x14ac:dyDescent="0.2">
      <c r="A57" s="7" t="s">
        <v>114</v>
      </c>
      <c r="B57" s="4" t="s">
        <v>172</v>
      </c>
      <c r="C57" s="4" t="s">
        <v>173</v>
      </c>
    </row>
    <row r="58" spans="1:3" ht="32" x14ac:dyDescent="0.2">
      <c r="A58" s="8" t="s">
        <v>59</v>
      </c>
      <c r="B58" s="4" t="s">
        <v>174</v>
      </c>
      <c r="C58" s="4" t="s">
        <v>175</v>
      </c>
    </row>
    <row r="59" spans="1:3" ht="32" x14ac:dyDescent="0.2">
      <c r="A59" s="8" t="s">
        <v>62</v>
      </c>
      <c r="B59" s="4" t="s">
        <v>176</v>
      </c>
      <c r="C59" s="4" t="s">
        <v>177</v>
      </c>
    </row>
  </sheetData>
  <mergeCells count="1">
    <mergeCell ref="B1:C1"/>
  </mergeCells>
  <printOptions gridLines="1"/>
  <pageMargins left="0.7" right="0.7" top="0.75" bottom="0.75" header="0.3" footer="0.3"/>
  <pageSetup pageOrder="overThenDown" orientation="landscape"/>
  <headerFooter>
    <oddHeader>&amp;LTable: ACSDT1Y2023.B27007</oddHeader>
    <oddFooter>&amp;L&amp;Bdata.census.gov&amp;B | Measuring America's People, Places, and Economy &amp;R&amp;P</oddFooter>
    <evenHeader>&amp;LTable: ACSDT1Y2023.B27007</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2025-03-26T21:06:59Z</dcterms:created>
  <dcterms:modified xsi:type="dcterms:W3CDTF">2025-03-26T21:30:30Z</dcterms:modified>
</cp:coreProperties>
</file>