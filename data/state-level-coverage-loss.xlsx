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adMe" sheetId="2" r:id="rId5"/>
  </sheets>
  <definedNames/>
  <calcPr/>
</workbook>
</file>

<file path=xl/sharedStrings.xml><?xml version="1.0" encoding="utf-8"?>
<sst xmlns="http://schemas.openxmlformats.org/spreadsheetml/2006/main" count="63" uniqueCount="63">
  <si>
    <t>State</t>
  </si>
  <si>
    <t>Under greater data matching</t>
  </si>
  <si>
    <t xml:space="preserve">Under limited data matching </t>
  </si>
  <si>
    <t xml:space="preserve">Coverage loss under AR-like rates </t>
  </si>
  <si>
    <t>Prop. lose coverage under AR-like rates</t>
  </si>
  <si>
    <t>Prop. didn’t work last year &amp; don’t qualify for an exemption</t>
  </si>
  <si>
    <t>Medicaid Expansion Population</t>
  </si>
  <si>
    <t>Medicaid Expansion Popupulation Distribution</t>
  </si>
  <si>
    <t>Prop of ME pop, who can be automatically exempt (parents/snap/wages)</t>
  </si>
  <si>
    <t xml:space="preserve">Prop of parents among those who can be automatically exempt </t>
  </si>
  <si>
    <t>Medicaid Expansion Population under Scenario 1: 5.5 million loss</t>
  </si>
  <si>
    <t>Under greater data matching:Scenario 1</t>
  </si>
  <si>
    <t>Under limited data matching: Scenario 1</t>
  </si>
  <si>
    <t>Loss of insurance under greater data matching: Scenario 1</t>
  </si>
  <si>
    <t>Loss of insurance under limited data matching: Scenario 1</t>
  </si>
  <si>
    <t>Total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</si>
  <si>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</si>
  <si>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</si>
  <si>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</si>
  <si>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</si>
  <si>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</si>
  <si>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</si>
  <si>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</si>
  <si>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</si>
  <si>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Hawaii</t>
  </si>
  <si>
    <t>Idaho</t>
  </si>
  <si>
    <t>Illinois</t>
  </si>
  <si>
    <t>Indiana</t>
  </si>
  <si>
    <t>Iowa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</si>
  <si>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</si>
  <si>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</si>
  <si>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</si>
  <si>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</si>
  <si>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</si>
  <si>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</si>
  <si>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</si>
  <si>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</si>
  <si>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</si>
  <si>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</si>
  <si>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</si>
  <si>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</si>
  <si>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</si>
  <si>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</si>
  <si>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</si>
  <si>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</si>
  <si>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</si>
  <si>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</si>
  <si>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</si>
  <si>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</si>
  <si>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</si>
  <si>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</si>
  <si>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</si>
  <si>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Utah</t>
  </si>
  <si>
    <t>Vermont</t>
  </si>
  <si>
    <t>Virginia</t>
  </si>
  <si>
    <t>Washington</t>
  </si>
  <si>
    <t>West Virginia</t>
  </si>
  <si>
    <t>Wisconsin</t>
  </si>
  <si>
    <t>Notes:</t>
  </si>
  <si>
    <r>
      <rPr>
        <rFont val="Chalkboard"/>
      </rPr>
      <t xml:space="preserve">Columns A-F:  Actual data from CBPP report </t>
    </r>
    <r>
      <rPr>
        <rFont val="Chalkboard"/>
        <color rgb="FF1155CC"/>
        <u/>
      </rPr>
      <t>https://www.cbpp.org/research/health/senate-bill-expands-medicaid-work-requirements-to-include-some-parents-would-take#people-at-risk-of-having-cbpp-anchor</t>
    </r>
  </si>
  <si>
    <t>Scaling down: Actual data uses projections in 2034 whereas our estimates are based on current years. Therefore, we scale down the total insurance loss to 5.5 million/6.3 million losses that are consistent with Urban studies.</t>
  </si>
  <si>
    <t>Columns G-J: Highlighted by Orange use A-F to calculate total population in Mediciad expansion, state-wise ditribution of Medicaid expansion population,  percentage of the expansion population who can be exempted, proportion of parents among those who can be exempted.</t>
  </si>
  <si>
    <t>Columns K-O: Highlighted by Yellow has the scaled down number generated under a national loss of insurnace of 5.5 million with 100% automatic exemption and 72% reporting rate.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</si>
</sst>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Chalkboard"/>
    </font>
    <font>
      <sz val="11.0"/>
      <color rgb="FF000000"/>
      <name val="Chalkboard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b/>
      <color theme="1"/>
      <name val="Chalkboard"/>
    </font>
    <font>
      <u/>
      <color rgb="FF0000FF"/>
      <name val="Chalkboard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bpp.org/research/health/senate-bill-expands-medicaid-work-requirements-to-include-some-parents-would-tak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  <col customWidth="1" min="9" max="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>
      <c r="A2" s="5" t="s">
        <v>15</v>
      </c>
      <c r="B2" s="6">
        <v>9825000.0</v>
      </c>
      <c r="C2" s="7">
        <v>1.4808E7</v>
      </c>
      <c r="D2" s="7">
        <v>7074000.0</v>
      </c>
      <c r="E2" s="6">
        <v>0.39</v>
      </c>
      <c r="F2" s="7">
        <v>0.13</v>
      </c>
      <c r="G2" s="7">
        <f t="shared" ref="G2:G44" si="2">D2/E2</f>
        <v>18138461.54</v>
      </c>
      <c r="H2" s="1">
        <f t="shared" ref="H2:H44" si="3"> G2/G$2</f>
        <v>1</v>
      </c>
      <c r="I2" s="8">
        <f t="shared" ref="I2:I44" si="4">(1-B2/G2)</f>
        <v>0.4583333333</v>
      </c>
      <c r="J2" s="7">
        <f t="shared" ref="J2:J44" si="5"> (1/I2)*(1-C2/G2)</f>
        <v>0.400610687</v>
      </c>
      <c r="K2" s="7">
        <f> 5500000/E2</f>
        <v>14102564.1</v>
      </c>
      <c r="L2" s="1">
        <f t="shared" ref="L2:L44" si="6"> (1 - I2)*K2</f>
        <v>7638888.889</v>
      </c>
      <c r="M2" s="9">
        <f t="shared" ref="M2:M44" si="7"> (1-I2*J2)*K2</f>
        <v>11513146.73</v>
      </c>
      <c r="N2" s="9">
        <f t="shared" ref="N2:O2" si="1">0.72*L2</f>
        <v>5500000</v>
      </c>
      <c r="O2" s="9">
        <f t="shared" si="1"/>
        <v>8289465.649</v>
      </c>
    </row>
    <row r="3">
      <c r="A3" s="5" t="s">
        <v>16</v>
      </c>
      <c r="B3" s="7">
        <v>40000.0</v>
      </c>
      <c r="C3" s="7">
        <v>46000.0</v>
      </c>
      <c r="D3" s="7">
        <v>28000.0</v>
      </c>
      <c r="E3" s="7">
        <v>0.53</v>
      </c>
      <c r="F3" s="7">
        <v>0.13</v>
      </c>
      <c r="G3" s="7">
        <f t="shared" si="2"/>
        <v>52830.18868</v>
      </c>
      <c r="H3" s="1">
        <f t="shared" si="3"/>
        <v>0.002912605822</v>
      </c>
      <c r="I3" s="8">
        <f t="shared" si="4"/>
        <v>0.2428571429</v>
      </c>
      <c r="J3" s="7">
        <f t="shared" si="5"/>
        <v>0.5323529412</v>
      </c>
      <c r="K3" s="7">
        <f t="shared" ref="K3:K44" si="9"> H3*K$2</f>
        <v>41075.21031</v>
      </c>
      <c r="L3" s="1">
        <f t="shared" si="6"/>
        <v>31099.80209</v>
      </c>
      <c r="M3" s="9">
        <f t="shared" si="7"/>
        <v>35764.77241</v>
      </c>
      <c r="N3" s="9">
        <f t="shared" ref="N3:O3" si="8">0.72*L3</f>
        <v>22391.85751</v>
      </c>
      <c r="O3" s="9">
        <f t="shared" si="8"/>
        <v>25750.63613</v>
      </c>
    </row>
    <row r="4">
      <c r="A4" s="5" t="s">
        <v>17</v>
      </c>
      <c r="B4" s="7">
        <v>269000.0</v>
      </c>
      <c r="C4" s="7">
        <v>382000.0</v>
      </c>
      <c r="D4" s="7">
        <v>194000.0</v>
      </c>
      <c r="E4" s="7">
        <v>0.43</v>
      </c>
      <c r="F4" s="7">
        <v>0.14</v>
      </c>
      <c r="G4" s="7">
        <f t="shared" si="2"/>
        <v>451162.7907</v>
      </c>
      <c r="H4" s="1">
        <f t="shared" si="3"/>
        <v>0.02487326666</v>
      </c>
      <c r="I4" s="8">
        <f t="shared" si="4"/>
        <v>0.4037628866</v>
      </c>
      <c r="J4" s="7">
        <f t="shared" si="5"/>
        <v>0.3796757309</v>
      </c>
      <c r="K4" s="7">
        <f t="shared" si="9"/>
        <v>350776.8376</v>
      </c>
      <c r="L4" s="1">
        <f t="shared" si="6"/>
        <v>209146.1691</v>
      </c>
      <c r="M4" s="9">
        <f t="shared" si="7"/>
        <v>297003.11</v>
      </c>
      <c r="N4" s="9">
        <f t="shared" ref="N4:O4" si="10">0.72*L4</f>
        <v>150585.2417</v>
      </c>
      <c r="O4" s="9">
        <f t="shared" si="10"/>
        <v>213842.2392</v>
      </c>
    </row>
    <row r="5">
      <c r="A5" s="5" t="s">
        <v>18</v>
      </c>
      <c r="B5" s="7">
        <v>136000.0</v>
      </c>
      <c r="C5" s="7">
        <v>185000.0</v>
      </c>
      <c r="D5" s="7">
        <v>98000.0</v>
      </c>
      <c r="E5" s="7">
        <v>0.37</v>
      </c>
      <c r="F5" s="7">
        <v>0.13</v>
      </c>
      <c r="G5" s="7">
        <f t="shared" si="2"/>
        <v>264864.8649</v>
      </c>
      <c r="H5" s="1">
        <f t="shared" si="3"/>
        <v>0.01460238865</v>
      </c>
      <c r="I5" s="8">
        <f t="shared" si="4"/>
        <v>0.4865306122</v>
      </c>
      <c r="J5" s="7">
        <f t="shared" si="5"/>
        <v>0.6197567114</v>
      </c>
      <c r="K5" s="7">
        <f t="shared" si="9"/>
        <v>205931.122</v>
      </c>
      <c r="L5" s="1">
        <f t="shared" si="6"/>
        <v>105739.3271</v>
      </c>
      <c r="M5" s="9">
        <f t="shared" si="7"/>
        <v>143836.5847</v>
      </c>
      <c r="N5" s="9">
        <f t="shared" ref="N5:O5" si="11">0.72*L5</f>
        <v>76132.31552</v>
      </c>
      <c r="O5" s="9">
        <f t="shared" si="11"/>
        <v>103562.341</v>
      </c>
    </row>
    <row r="6">
      <c r="A6" s="5" t="s">
        <v>19</v>
      </c>
      <c r="B6" s="7">
        <v>2321000.0</v>
      </c>
      <c r="C6" s="7">
        <v>3530000.0</v>
      </c>
      <c r="D6" s="7">
        <v>1671000.0</v>
      </c>
      <c r="E6" s="7">
        <v>0.42</v>
      </c>
      <c r="F6" s="7">
        <v>0.15</v>
      </c>
      <c r="G6" s="7">
        <f t="shared" si="2"/>
        <v>3978571.429</v>
      </c>
      <c r="H6" s="1">
        <f t="shared" si="3"/>
        <v>0.2193444808</v>
      </c>
      <c r="I6" s="8">
        <f t="shared" si="4"/>
        <v>0.4166247756</v>
      </c>
      <c r="J6" s="7">
        <f t="shared" si="5"/>
        <v>0.2706196673</v>
      </c>
      <c r="K6" s="7">
        <f t="shared" si="9"/>
        <v>3093319.601</v>
      </c>
      <c r="L6" s="1">
        <f t="shared" si="6"/>
        <v>1804566.016</v>
      </c>
      <c r="M6" s="9">
        <f t="shared" si="7"/>
        <v>2744557.535</v>
      </c>
      <c r="N6" s="9">
        <f t="shared" ref="N6:O6" si="12">0.72*L6</f>
        <v>1299287.532</v>
      </c>
      <c r="O6" s="9">
        <f t="shared" si="12"/>
        <v>1976081.425</v>
      </c>
    </row>
    <row r="7">
      <c r="A7" s="5" t="s">
        <v>20</v>
      </c>
      <c r="B7" s="7">
        <v>190000.0</v>
      </c>
      <c r="C7" s="7">
        <v>301000.0</v>
      </c>
      <c r="D7" s="7">
        <v>137000.0</v>
      </c>
      <c r="E7" s="7">
        <v>0.34</v>
      </c>
      <c r="F7" s="7">
        <v>0.1</v>
      </c>
      <c r="G7" s="7">
        <f t="shared" si="2"/>
        <v>402941.1765</v>
      </c>
      <c r="H7" s="1">
        <f t="shared" si="3"/>
        <v>0.02221473831</v>
      </c>
      <c r="I7" s="8">
        <f t="shared" si="4"/>
        <v>0.5284671533</v>
      </c>
      <c r="J7" s="7">
        <f t="shared" si="5"/>
        <v>0.4787292818</v>
      </c>
      <c r="K7" s="7">
        <f t="shared" si="9"/>
        <v>313284.7711</v>
      </c>
      <c r="L7" s="1">
        <f t="shared" si="6"/>
        <v>147724.0599</v>
      </c>
      <c r="M7" s="9">
        <f t="shared" si="7"/>
        <v>234026.0107</v>
      </c>
      <c r="N7" s="9">
        <f t="shared" ref="N7:O7" si="13">0.72*L7</f>
        <v>106361.3232</v>
      </c>
      <c r="O7" s="9">
        <f t="shared" si="13"/>
        <v>168498.7277</v>
      </c>
    </row>
    <row r="8">
      <c r="A8" s="5" t="s">
        <v>21</v>
      </c>
      <c r="B8" s="7">
        <v>184000.0</v>
      </c>
      <c r="C8" s="7">
        <v>279000.0</v>
      </c>
      <c r="D8" s="7">
        <v>132000.0</v>
      </c>
      <c r="E8" s="7">
        <v>0.48</v>
      </c>
      <c r="F8" s="7">
        <v>0.17</v>
      </c>
      <c r="G8" s="7">
        <f t="shared" si="2"/>
        <v>275000</v>
      </c>
      <c r="H8" s="1">
        <f t="shared" si="3"/>
        <v>0.01516115352</v>
      </c>
      <c r="I8" s="8">
        <f t="shared" si="4"/>
        <v>0.3309090909</v>
      </c>
      <c r="J8" s="10">
        <f t="shared" si="5"/>
        <v>-0.04395604396</v>
      </c>
      <c r="K8" s="7">
        <f t="shared" si="9"/>
        <v>213811.1394</v>
      </c>
      <c r="L8" s="1">
        <f t="shared" si="6"/>
        <v>143059.0896</v>
      </c>
      <c r="M8" s="9">
        <f t="shared" si="7"/>
        <v>216921.1196</v>
      </c>
      <c r="N8" s="9">
        <f t="shared" ref="N8:O8" si="14">0.72*L8</f>
        <v>103002.5445</v>
      </c>
      <c r="O8" s="9">
        <f t="shared" si="14"/>
        <v>156183.2061</v>
      </c>
    </row>
    <row r="9">
      <c r="A9" s="5" t="s">
        <v>22</v>
      </c>
      <c r="B9" s="7">
        <v>33000.0</v>
      </c>
      <c r="C9" s="7">
        <v>57000.0</v>
      </c>
      <c r="D9" s="7">
        <v>24000.0</v>
      </c>
      <c r="E9" s="7">
        <v>0.37</v>
      </c>
      <c r="F9" s="7">
        <v>0.11</v>
      </c>
      <c r="G9" s="7">
        <f t="shared" si="2"/>
        <v>64864.86486</v>
      </c>
      <c r="H9" s="1">
        <f t="shared" si="3"/>
        <v>0.003576095179</v>
      </c>
      <c r="I9" s="8">
        <f t="shared" si="4"/>
        <v>0.49125</v>
      </c>
      <c r="J9" s="7">
        <f t="shared" si="5"/>
        <v>0.2468193384</v>
      </c>
      <c r="K9" s="7">
        <f t="shared" si="9"/>
        <v>50432.1115</v>
      </c>
      <c r="L9" s="1">
        <f t="shared" si="6"/>
        <v>25657.33673</v>
      </c>
      <c r="M9" s="9">
        <f t="shared" si="7"/>
        <v>44317.21798</v>
      </c>
      <c r="N9" s="9">
        <f t="shared" ref="N9:O9" si="15">0.72*L9</f>
        <v>18473.28244</v>
      </c>
      <c r="O9" s="9">
        <f t="shared" si="15"/>
        <v>31908.39695</v>
      </c>
    </row>
    <row r="10">
      <c r="A10" s="5" t="s">
        <v>23</v>
      </c>
      <c r="B10" s="7">
        <v>83000.0</v>
      </c>
      <c r="C10" s="7">
        <v>114000.0</v>
      </c>
      <c r="D10" s="7">
        <v>59000.0</v>
      </c>
      <c r="E10" s="7">
        <v>0.52</v>
      </c>
      <c r="F10" s="7">
        <v>0.24</v>
      </c>
      <c r="G10" s="7">
        <f t="shared" si="2"/>
        <v>113461.5385</v>
      </c>
      <c r="H10" s="1">
        <f t="shared" si="3"/>
        <v>0.006255301103</v>
      </c>
      <c r="I10" s="8">
        <f t="shared" si="4"/>
        <v>0.2684745763</v>
      </c>
      <c r="J10" s="10">
        <f t="shared" si="5"/>
        <v>-0.01767676768</v>
      </c>
      <c r="K10" s="7">
        <f t="shared" si="9"/>
        <v>88215.78478</v>
      </c>
      <c r="L10" s="1">
        <f t="shared" si="6"/>
        <v>64532.08934</v>
      </c>
      <c r="M10" s="9">
        <f t="shared" si="7"/>
        <v>88634.43596</v>
      </c>
      <c r="N10" s="9">
        <f t="shared" ref="N10:O10" si="16">0.72*L10</f>
        <v>46463.10433</v>
      </c>
      <c r="O10" s="9">
        <f t="shared" si="16"/>
        <v>63816.79389</v>
      </c>
    </row>
    <row r="11">
      <c r="A11" s="1" t="s">
        <v>24</v>
      </c>
      <c r="B11" s="7">
        <v>77000.0</v>
      </c>
      <c r="C11" s="7">
        <v>108000.0</v>
      </c>
      <c r="D11" s="7">
        <v>55000.0</v>
      </c>
      <c r="E11" s="7">
        <v>0.47</v>
      </c>
      <c r="F11" s="7">
        <v>0.14</v>
      </c>
      <c r="G11" s="7">
        <f t="shared" si="2"/>
        <v>117021.2766</v>
      </c>
      <c r="H11" s="1">
        <f t="shared" si="3"/>
        <v>0.006451554689</v>
      </c>
      <c r="I11" s="8">
        <f t="shared" si="4"/>
        <v>0.342</v>
      </c>
      <c r="J11" s="7">
        <f t="shared" si="5"/>
        <v>0.2254120149</v>
      </c>
      <c r="K11" s="7">
        <f t="shared" si="9"/>
        <v>90983.46357</v>
      </c>
      <c r="L11" s="1">
        <f t="shared" si="6"/>
        <v>59867.11903</v>
      </c>
      <c r="M11" s="9">
        <f t="shared" si="7"/>
        <v>83969.46565</v>
      </c>
      <c r="N11" s="9">
        <f t="shared" ref="N11:O11" si="17">0.72*L11</f>
        <v>43104.3257</v>
      </c>
      <c r="O11" s="9">
        <f t="shared" si="17"/>
        <v>60458.01527</v>
      </c>
    </row>
    <row r="12">
      <c r="A12" s="5" t="s">
        <v>25</v>
      </c>
      <c r="B12" s="7">
        <v>34000.0</v>
      </c>
      <c r="C12" s="7">
        <v>56000.0</v>
      </c>
      <c r="D12" s="7">
        <v>25000.0</v>
      </c>
      <c r="E12" s="7">
        <v>0.26</v>
      </c>
      <c r="F12" s="7">
        <v>0.07</v>
      </c>
      <c r="G12" s="7">
        <f t="shared" si="2"/>
        <v>96153.84615</v>
      </c>
      <c r="H12" s="1">
        <f t="shared" si="3"/>
        <v>0.005301102629</v>
      </c>
      <c r="I12" s="8">
        <f t="shared" si="4"/>
        <v>0.6464</v>
      </c>
      <c r="J12" s="7">
        <f t="shared" si="5"/>
        <v>0.646039604</v>
      </c>
      <c r="K12" s="7">
        <f t="shared" si="9"/>
        <v>74759.13964</v>
      </c>
      <c r="L12" s="1">
        <f t="shared" si="6"/>
        <v>26434.83178</v>
      </c>
      <c r="M12" s="9">
        <f t="shared" si="7"/>
        <v>43539.72293</v>
      </c>
      <c r="N12" s="9">
        <f t="shared" ref="N12:O12" si="18">0.72*L12</f>
        <v>19033.07888</v>
      </c>
      <c r="O12" s="9">
        <f t="shared" si="18"/>
        <v>31348.60051</v>
      </c>
    </row>
    <row r="13">
      <c r="A13" s="5" t="s">
        <v>26</v>
      </c>
      <c r="B13" s="7">
        <v>473000.0</v>
      </c>
      <c r="C13" s="7">
        <v>714000.0</v>
      </c>
      <c r="D13" s="7">
        <v>341000.0</v>
      </c>
      <c r="E13" s="7">
        <v>0.48</v>
      </c>
      <c r="F13" s="7">
        <v>0.14</v>
      </c>
      <c r="G13" s="7">
        <f t="shared" si="2"/>
        <v>710416.6667</v>
      </c>
      <c r="H13" s="1">
        <f t="shared" si="3"/>
        <v>0.03916631326</v>
      </c>
      <c r="I13" s="8">
        <f t="shared" si="4"/>
        <v>0.3341935484</v>
      </c>
      <c r="J13" s="10">
        <f t="shared" si="5"/>
        <v>-0.01509301509</v>
      </c>
      <c r="K13" s="7">
        <f t="shared" si="9"/>
        <v>552345.4434</v>
      </c>
      <c r="L13" s="1">
        <f t="shared" si="6"/>
        <v>367755.1597</v>
      </c>
      <c r="M13" s="9">
        <f t="shared" si="7"/>
        <v>555131.4673</v>
      </c>
      <c r="N13" s="9">
        <f t="shared" ref="N13:O13" si="19">0.72*L13</f>
        <v>264783.715</v>
      </c>
      <c r="O13" s="9">
        <f t="shared" si="19"/>
        <v>399694.6565</v>
      </c>
    </row>
    <row r="14">
      <c r="A14" s="5" t="s">
        <v>27</v>
      </c>
      <c r="B14" s="7">
        <v>141000.0</v>
      </c>
      <c r="C14" s="7">
        <v>214000.0</v>
      </c>
      <c r="D14" s="7">
        <v>102000.0</v>
      </c>
      <c r="E14" s="7">
        <v>0.31</v>
      </c>
      <c r="F14" s="7">
        <v>0.09</v>
      </c>
      <c r="G14" s="7">
        <f t="shared" si="2"/>
        <v>329032.2581</v>
      </c>
      <c r="H14" s="1">
        <f t="shared" si="3"/>
        <v>0.01814003119</v>
      </c>
      <c r="I14" s="8">
        <f t="shared" si="4"/>
        <v>0.5714705882</v>
      </c>
      <c r="J14" s="7">
        <f t="shared" si="5"/>
        <v>0.6117687425</v>
      </c>
      <c r="K14" s="7">
        <f t="shared" si="9"/>
        <v>255820.9527</v>
      </c>
      <c r="L14" s="1">
        <f t="shared" si="6"/>
        <v>109626.8024</v>
      </c>
      <c r="M14" s="9">
        <f t="shared" si="7"/>
        <v>166383.9412</v>
      </c>
      <c r="N14" s="9">
        <f t="shared" ref="N14:O14" si="20">0.72*L14</f>
        <v>78931.29771</v>
      </c>
      <c r="O14" s="9">
        <f t="shared" si="20"/>
        <v>119796.4377</v>
      </c>
    </row>
    <row r="15">
      <c r="A15" s="5" t="s">
        <v>28</v>
      </c>
      <c r="B15" s="7">
        <v>80000.0</v>
      </c>
      <c r="C15" s="7">
        <v>125000.0</v>
      </c>
      <c r="D15" s="7">
        <v>58000.0</v>
      </c>
      <c r="E15" s="7">
        <v>0.32</v>
      </c>
      <c r="F15" s="7">
        <v>0.08</v>
      </c>
      <c r="G15" s="7">
        <f t="shared" si="2"/>
        <v>181250</v>
      </c>
      <c r="H15" s="1">
        <f t="shared" si="3"/>
        <v>0.009992578456</v>
      </c>
      <c r="I15" s="8">
        <f t="shared" si="4"/>
        <v>0.5586206897</v>
      </c>
      <c r="J15" s="7">
        <f t="shared" si="5"/>
        <v>0.5555555556</v>
      </c>
      <c r="K15" s="7">
        <f t="shared" si="9"/>
        <v>140920.9782</v>
      </c>
      <c r="L15" s="1">
        <f t="shared" si="6"/>
        <v>62199.60418</v>
      </c>
      <c r="M15" s="9">
        <f t="shared" si="7"/>
        <v>97186.88154</v>
      </c>
      <c r="N15" s="9">
        <f t="shared" ref="N15:O15" si="21">0.72*L15</f>
        <v>44783.71501</v>
      </c>
      <c r="O15" s="9">
        <f t="shared" si="21"/>
        <v>69974.55471</v>
      </c>
    </row>
    <row r="16">
      <c r="A16" s="5" t="s">
        <v>29</v>
      </c>
      <c r="B16" s="7">
        <v>207000.0</v>
      </c>
      <c r="C16" s="7">
        <v>299000.0</v>
      </c>
      <c r="D16" s="7">
        <v>149000.0</v>
      </c>
      <c r="E16" s="7">
        <v>0.31</v>
      </c>
      <c r="F16" s="7">
        <v>0.08</v>
      </c>
      <c r="G16" s="7">
        <f t="shared" si="2"/>
        <v>480645.1613</v>
      </c>
      <c r="H16" s="1">
        <f t="shared" si="3"/>
        <v>0.02649867301</v>
      </c>
      <c r="I16" s="8">
        <f t="shared" si="4"/>
        <v>0.5693288591</v>
      </c>
      <c r="J16" s="7">
        <f t="shared" si="5"/>
        <v>0.6637981846</v>
      </c>
      <c r="K16" s="7">
        <f t="shared" si="9"/>
        <v>373699.2348</v>
      </c>
      <c r="L16" s="1">
        <f t="shared" si="6"/>
        <v>160941.4758</v>
      </c>
      <c r="M16" s="9">
        <f t="shared" si="7"/>
        <v>232471.0206</v>
      </c>
      <c r="N16" s="9">
        <f t="shared" ref="N16:O16" si="22">0.72*L16</f>
        <v>115877.8626</v>
      </c>
      <c r="O16" s="9">
        <f t="shared" si="22"/>
        <v>167379.1349</v>
      </c>
    </row>
    <row r="17">
      <c r="A17" s="5" t="s">
        <v>30</v>
      </c>
      <c r="B17" s="7">
        <v>234000.0</v>
      </c>
      <c r="C17" s="7">
        <v>351000.0</v>
      </c>
      <c r="D17" s="7">
        <v>168000.0</v>
      </c>
      <c r="E17" s="7">
        <v>0.33</v>
      </c>
      <c r="F17" s="7">
        <v>0.1</v>
      </c>
      <c r="G17" s="7">
        <f t="shared" si="2"/>
        <v>509090.9091</v>
      </c>
      <c r="H17" s="1">
        <f t="shared" si="3"/>
        <v>0.02806692883</v>
      </c>
      <c r="I17" s="8">
        <f t="shared" si="4"/>
        <v>0.5403571429</v>
      </c>
      <c r="J17" s="7">
        <f t="shared" si="5"/>
        <v>0.5746860542</v>
      </c>
      <c r="K17" s="7">
        <f t="shared" si="9"/>
        <v>395815.663</v>
      </c>
      <c r="L17" s="1">
        <f t="shared" si="6"/>
        <v>181933.8422</v>
      </c>
      <c r="M17" s="9">
        <f t="shared" si="7"/>
        <v>272900.7634</v>
      </c>
      <c r="N17" s="9">
        <f t="shared" ref="N17:O17" si="23">0.72*L17</f>
        <v>130992.3664</v>
      </c>
      <c r="O17" s="9">
        <f t="shared" si="23"/>
        <v>196488.5496</v>
      </c>
    </row>
    <row r="18">
      <c r="A18" s="5" t="s">
        <v>31</v>
      </c>
      <c r="B18" s="7">
        <v>47000.0</v>
      </c>
      <c r="C18" s="7">
        <v>69000.0</v>
      </c>
      <c r="D18" s="7">
        <v>34000.0</v>
      </c>
      <c r="E18" s="7">
        <v>0.4</v>
      </c>
      <c r="F18" s="7">
        <v>0.13</v>
      </c>
      <c r="G18" s="7">
        <f t="shared" si="2"/>
        <v>85000</v>
      </c>
      <c r="H18" s="1">
        <f t="shared" si="3"/>
        <v>0.004686174724</v>
      </c>
      <c r="I18" s="8">
        <f t="shared" si="4"/>
        <v>0.4470588235</v>
      </c>
      <c r="J18" s="7">
        <f t="shared" si="5"/>
        <v>0.4210526316</v>
      </c>
      <c r="K18" s="7">
        <f t="shared" si="9"/>
        <v>66087.07945</v>
      </c>
      <c r="L18" s="1">
        <f t="shared" si="6"/>
        <v>36542.26746</v>
      </c>
      <c r="M18" s="9">
        <f t="shared" si="7"/>
        <v>53647.15861</v>
      </c>
      <c r="N18" s="9">
        <f t="shared" ref="N18:O18" si="24">0.72*L18</f>
        <v>26310.43257</v>
      </c>
      <c r="O18" s="9">
        <f t="shared" si="24"/>
        <v>38625.9542</v>
      </c>
    </row>
    <row r="19">
      <c r="A19" s="5" t="s">
        <v>32</v>
      </c>
      <c r="B19" s="7">
        <v>200000.0</v>
      </c>
      <c r="C19" s="7">
        <v>300000.0</v>
      </c>
      <c r="D19" s="7">
        <v>144000.0</v>
      </c>
      <c r="E19" s="7">
        <v>0.44</v>
      </c>
      <c r="F19" s="7">
        <v>0.13</v>
      </c>
      <c r="G19" s="7">
        <f t="shared" si="2"/>
        <v>327272.7273</v>
      </c>
      <c r="H19" s="1">
        <f t="shared" si="3"/>
        <v>0.01804302568</v>
      </c>
      <c r="I19" s="8">
        <f t="shared" si="4"/>
        <v>0.3888888889</v>
      </c>
      <c r="J19" s="7">
        <f t="shared" si="5"/>
        <v>0.2142857143</v>
      </c>
      <c r="K19" s="7">
        <f t="shared" si="9"/>
        <v>254452.9262</v>
      </c>
      <c r="L19" s="1">
        <f t="shared" si="6"/>
        <v>155499.0105</v>
      </c>
      <c r="M19" s="9">
        <f t="shared" si="7"/>
        <v>233248.5157</v>
      </c>
      <c r="N19" s="9">
        <f t="shared" ref="N19:O19" si="25">0.72*L19</f>
        <v>111959.2875</v>
      </c>
      <c r="O19" s="9">
        <f t="shared" si="25"/>
        <v>167938.9313</v>
      </c>
    </row>
    <row r="20">
      <c r="A20" s="5" t="s">
        <v>33</v>
      </c>
      <c r="B20" s="7">
        <v>225000.0</v>
      </c>
      <c r="C20" s="7">
        <v>350000.0</v>
      </c>
      <c r="D20" s="7">
        <v>162000.0</v>
      </c>
      <c r="E20" s="7">
        <v>0.46</v>
      </c>
      <c r="F20" s="7">
        <v>0.14</v>
      </c>
      <c r="G20" s="7">
        <f t="shared" si="2"/>
        <v>352173.913</v>
      </c>
      <c r="H20" s="1">
        <f t="shared" si="3"/>
        <v>0.01941586459</v>
      </c>
      <c r="I20" s="8">
        <f t="shared" si="4"/>
        <v>0.3611111111</v>
      </c>
      <c r="J20" s="7">
        <f t="shared" si="5"/>
        <v>0.01709401709</v>
      </c>
      <c r="K20" s="7">
        <f t="shared" si="9"/>
        <v>273813.4749</v>
      </c>
      <c r="L20" s="1">
        <f t="shared" si="6"/>
        <v>174936.3868</v>
      </c>
      <c r="M20" s="9">
        <f t="shared" si="7"/>
        <v>272123.2683</v>
      </c>
      <c r="N20" s="9">
        <f t="shared" ref="N20:O20" si="26">0.72*L20</f>
        <v>125954.1985</v>
      </c>
      <c r="O20" s="9">
        <f t="shared" si="26"/>
        <v>195928.7532</v>
      </c>
    </row>
    <row r="21">
      <c r="A21" s="5" t="s">
        <v>34</v>
      </c>
      <c r="B21" s="7">
        <v>340000.0</v>
      </c>
      <c r="C21" s="7">
        <v>531000.0</v>
      </c>
      <c r="D21" s="7">
        <v>245000.0</v>
      </c>
      <c r="E21" s="7">
        <v>0.34</v>
      </c>
      <c r="F21" s="7">
        <v>0.1</v>
      </c>
      <c r="G21" s="7">
        <f t="shared" si="2"/>
        <v>720588.2353</v>
      </c>
      <c r="H21" s="1">
        <f t="shared" si="3"/>
        <v>0.03972708676</v>
      </c>
      <c r="I21" s="8">
        <f t="shared" si="4"/>
        <v>0.5281632653</v>
      </c>
      <c r="J21" s="7">
        <f t="shared" si="5"/>
        <v>0.4981452859</v>
      </c>
      <c r="K21" s="7">
        <f t="shared" si="9"/>
        <v>560253.7877</v>
      </c>
      <c r="L21" s="1">
        <f t="shared" si="6"/>
        <v>264348.3178</v>
      </c>
      <c r="M21" s="9">
        <f t="shared" si="7"/>
        <v>412849.8728</v>
      </c>
      <c r="N21" s="9">
        <f t="shared" ref="N21:O21" si="27">0.72*L21</f>
        <v>190330.7888</v>
      </c>
      <c r="O21" s="9">
        <f t="shared" si="27"/>
        <v>297251.9084</v>
      </c>
    </row>
    <row r="22">
      <c r="A22" s="5" t="s">
        <v>35</v>
      </c>
      <c r="B22" s="7">
        <v>123000.0</v>
      </c>
      <c r="C22" s="7">
        <v>202000.0</v>
      </c>
      <c r="D22" s="7">
        <v>88000.0</v>
      </c>
      <c r="E22" s="7">
        <v>0.44</v>
      </c>
      <c r="F22" s="7">
        <v>0.14</v>
      </c>
      <c r="G22" s="7">
        <f t="shared" si="2"/>
        <v>200000</v>
      </c>
      <c r="H22" s="1">
        <f t="shared" si="3"/>
        <v>0.01102629347</v>
      </c>
      <c r="I22" s="8">
        <f t="shared" si="4"/>
        <v>0.385</v>
      </c>
      <c r="J22" s="10">
        <f t="shared" si="5"/>
        <v>-0.02597402597</v>
      </c>
      <c r="K22" s="7">
        <f t="shared" si="9"/>
        <v>155499.0105</v>
      </c>
      <c r="L22" s="1">
        <f t="shared" si="6"/>
        <v>95631.89143</v>
      </c>
      <c r="M22" s="9">
        <f t="shared" si="7"/>
        <v>157054.0006</v>
      </c>
      <c r="N22" s="9">
        <f t="shared" ref="N22:O22" si="28">0.72*L22</f>
        <v>68854.96183</v>
      </c>
      <c r="O22" s="9">
        <f t="shared" si="28"/>
        <v>113078.8804</v>
      </c>
    </row>
    <row r="23">
      <c r="A23" s="5" t="s">
        <v>36</v>
      </c>
      <c r="B23" s="7">
        <v>131000.0</v>
      </c>
      <c r="C23" s="7">
        <v>201000.0</v>
      </c>
      <c r="D23" s="7">
        <v>95000.0</v>
      </c>
      <c r="E23" s="7">
        <v>0.29</v>
      </c>
      <c r="F23" s="7">
        <v>0.09</v>
      </c>
      <c r="G23" s="7">
        <f t="shared" si="2"/>
        <v>327586.2069</v>
      </c>
      <c r="H23" s="1">
        <f t="shared" si="3"/>
        <v>0.01806030827</v>
      </c>
      <c r="I23" s="8">
        <f t="shared" si="4"/>
        <v>0.6001052632</v>
      </c>
      <c r="J23" s="7">
        <f t="shared" si="5"/>
        <v>0.6439221189</v>
      </c>
      <c r="K23" s="7">
        <f t="shared" si="9"/>
        <v>254696.6551</v>
      </c>
      <c r="L23" s="1">
        <f t="shared" si="6"/>
        <v>101851.8519</v>
      </c>
      <c r="M23" s="9">
        <f t="shared" si="7"/>
        <v>156276.5055</v>
      </c>
      <c r="N23" s="9">
        <f t="shared" ref="N23:O23" si="29">0.72*L23</f>
        <v>73333.33333</v>
      </c>
      <c r="O23" s="9">
        <f t="shared" si="29"/>
        <v>112519.084</v>
      </c>
    </row>
    <row r="24">
      <c r="A24" s="5" t="s">
        <v>37</v>
      </c>
      <c r="B24" s="7">
        <v>41000.0</v>
      </c>
      <c r="C24" s="7">
        <v>68000.0</v>
      </c>
      <c r="D24" s="7">
        <v>30000.0</v>
      </c>
      <c r="E24" s="7">
        <v>0.29</v>
      </c>
      <c r="F24" s="7">
        <v>0.11</v>
      </c>
      <c r="G24" s="7">
        <f t="shared" si="2"/>
        <v>103448.2759</v>
      </c>
      <c r="H24" s="1">
        <f t="shared" si="3"/>
        <v>0.005703255243</v>
      </c>
      <c r="I24" s="8">
        <f t="shared" si="4"/>
        <v>0.6036666667</v>
      </c>
      <c r="J24" s="7">
        <f t="shared" si="5"/>
        <v>0.5676421866</v>
      </c>
      <c r="K24" s="7">
        <f t="shared" si="9"/>
        <v>80430.52265</v>
      </c>
      <c r="L24" s="1">
        <f t="shared" si="6"/>
        <v>31877.29714</v>
      </c>
      <c r="M24" s="9">
        <f t="shared" si="7"/>
        <v>52869.66356</v>
      </c>
      <c r="N24" s="9">
        <f t="shared" ref="N24:O24" si="30">0.72*L24</f>
        <v>22951.65394</v>
      </c>
      <c r="O24" s="9">
        <f t="shared" si="30"/>
        <v>38066.15776</v>
      </c>
    </row>
    <row r="25">
      <c r="A25" s="5" t="s">
        <v>38</v>
      </c>
      <c r="B25" s="7">
        <v>27000.0</v>
      </c>
      <c r="C25" s="7">
        <v>40000.0</v>
      </c>
      <c r="D25" s="7">
        <v>20000.0</v>
      </c>
      <c r="E25" s="7">
        <v>0.32</v>
      </c>
      <c r="F25" s="7">
        <v>0.1</v>
      </c>
      <c r="G25" s="7">
        <f t="shared" si="2"/>
        <v>62500</v>
      </c>
      <c r="H25" s="1">
        <f t="shared" si="3"/>
        <v>0.003445716709</v>
      </c>
      <c r="I25" s="8">
        <f t="shared" si="4"/>
        <v>0.568</v>
      </c>
      <c r="J25" s="7">
        <f t="shared" si="5"/>
        <v>0.6338028169</v>
      </c>
      <c r="K25" s="7">
        <f t="shared" si="9"/>
        <v>48593.44077</v>
      </c>
      <c r="L25" s="1">
        <f t="shared" si="6"/>
        <v>20992.36641</v>
      </c>
      <c r="M25" s="9">
        <f t="shared" si="7"/>
        <v>31099.80209</v>
      </c>
      <c r="N25" s="9">
        <f t="shared" ref="N25:O25" si="31">0.72*L25</f>
        <v>15114.50382</v>
      </c>
      <c r="O25" s="9">
        <f t="shared" si="31"/>
        <v>22391.85751</v>
      </c>
    </row>
    <row r="26">
      <c r="A26" s="5" t="s">
        <v>39</v>
      </c>
      <c r="B26" s="7">
        <v>100000.0</v>
      </c>
      <c r="C26" s="7">
        <v>151000.0</v>
      </c>
      <c r="D26" s="7">
        <v>72000.0</v>
      </c>
      <c r="E26" s="7">
        <v>0.33</v>
      </c>
      <c r="F26" s="7">
        <v>0.12</v>
      </c>
      <c r="G26" s="7">
        <f t="shared" si="2"/>
        <v>218181.8182</v>
      </c>
      <c r="H26" s="1">
        <f t="shared" si="3"/>
        <v>0.01202868378</v>
      </c>
      <c r="I26" s="8">
        <f t="shared" si="4"/>
        <v>0.5416666667</v>
      </c>
      <c r="J26" s="7">
        <f t="shared" si="5"/>
        <v>0.5684615385</v>
      </c>
      <c r="K26" s="7">
        <f t="shared" si="9"/>
        <v>169635.2841</v>
      </c>
      <c r="L26" s="1">
        <f t="shared" si="6"/>
        <v>77749.50523</v>
      </c>
      <c r="M26" s="9">
        <f t="shared" si="7"/>
        <v>117401.7529</v>
      </c>
      <c r="N26" s="9">
        <f t="shared" ref="N26:O26" si="32">0.72*L26</f>
        <v>55979.64377</v>
      </c>
      <c r="O26" s="9">
        <f t="shared" si="32"/>
        <v>84529.26209</v>
      </c>
    </row>
    <row r="27">
      <c r="A27" s="5" t="s">
        <v>40</v>
      </c>
      <c r="B27" s="7">
        <v>27000.0</v>
      </c>
      <c r="C27" s="7">
        <v>40000.0</v>
      </c>
      <c r="D27" s="7">
        <v>20000.0</v>
      </c>
      <c r="E27" s="7">
        <v>0.35</v>
      </c>
      <c r="F27" s="7">
        <v>0.14</v>
      </c>
      <c r="G27" s="7">
        <f t="shared" si="2"/>
        <v>57142.85714</v>
      </c>
      <c r="H27" s="1">
        <f t="shared" si="3"/>
        <v>0.003150369563</v>
      </c>
      <c r="I27" s="8">
        <f t="shared" si="4"/>
        <v>0.5275</v>
      </c>
      <c r="J27" s="7">
        <f t="shared" si="5"/>
        <v>0.5687203791</v>
      </c>
      <c r="K27" s="7">
        <f t="shared" si="9"/>
        <v>44428.2887</v>
      </c>
      <c r="L27" s="1">
        <f t="shared" si="6"/>
        <v>20992.36641</v>
      </c>
      <c r="M27" s="9">
        <f t="shared" si="7"/>
        <v>31099.80209</v>
      </c>
      <c r="N27" s="9">
        <f t="shared" ref="N27:O27" si="33">0.72*L27</f>
        <v>15114.50382</v>
      </c>
      <c r="O27" s="9">
        <f t="shared" si="33"/>
        <v>22391.85751</v>
      </c>
    </row>
    <row r="28">
      <c r="A28" s="5" t="s">
        <v>41</v>
      </c>
      <c r="B28" s="7">
        <v>238000.0</v>
      </c>
      <c r="C28" s="7">
        <v>390000.0</v>
      </c>
      <c r="D28" s="7">
        <v>171000.0</v>
      </c>
      <c r="E28" s="7">
        <v>0.3</v>
      </c>
      <c r="F28" s="7">
        <v>0.11</v>
      </c>
      <c r="G28" s="7">
        <f t="shared" si="2"/>
        <v>570000</v>
      </c>
      <c r="H28" s="1">
        <f t="shared" si="3"/>
        <v>0.03142493639</v>
      </c>
      <c r="I28" s="8">
        <f t="shared" si="4"/>
        <v>0.5824561404</v>
      </c>
      <c r="J28" s="7">
        <f t="shared" si="5"/>
        <v>0.5421686747</v>
      </c>
      <c r="K28" s="7">
        <f t="shared" si="9"/>
        <v>443172.1798</v>
      </c>
      <c r="L28" s="1">
        <f t="shared" si="6"/>
        <v>185043.8224</v>
      </c>
      <c r="M28" s="9">
        <f t="shared" si="7"/>
        <v>303223.0704</v>
      </c>
      <c r="N28" s="9">
        <f t="shared" ref="N28:O28" si="34">0.72*L28</f>
        <v>133231.5522</v>
      </c>
      <c r="O28" s="9">
        <f t="shared" si="34"/>
        <v>218320.6107</v>
      </c>
    </row>
    <row r="29">
      <c r="A29" s="5" t="s">
        <v>42</v>
      </c>
      <c r="B29" s="7">
        <v>119000.0</v>
      </c>
      <c r="C29" s="7">
        <v>183000.0</v>
      </c>
      <c r="D29" s="7">
        <v>86000.0</v>
      </c>
      <c r="E29" s="7">
        <v>0.32</v>
      </c>
      <c r="F29" s="7">
        <v>0.09</v>
      </c>
      <c r="G29" s="7">
        <f t="shared" si="2"/>
        <v>268750</v>
      </c>
      <c r="H29" s="1">
        <f t="shared" si="3"/>
        <v>0.01481658185</v>
      </c>
      <c r="I29" s="8">
        <f t="shared" si="4"/>
        <v>0.5572093023</v>
      </c>
      <c r="J29" s="7">
        <f t="shared" si="5"/>
        <v>0.5726210351</v>
      </c>
      <c r="K29" s="7">
        <f t="shared" si="9"/>
        <v>208951.7953</v>
      </c>
      <c r="L29" s="1">
        <f t="shared" si="6"/>
        <v>92521.91122</v>
      </c>
      <c r="M29" s="9">
        <f t="shared" si="7"/>
        <v>142281.5946</v>
      </c>
      <c r="N29" s="9">
        <f t="shared" ref="N29:O29" si="35">0.72*L29</f>
        <v>66615.77608</v>
      </c>
      <c r="O29" s="9">
        <f t="shared" si="35"/>
        <v>102442.7481</v>
      </c>
    </row>
    <row r="30">
      <c r="A30" s="5" t="s">
        <v>43</v>
      </c>
      <c r="B30" s="7">
        <v>1353000.0</v>
      </c>
      <c r="C30" s="7">
        <v>1994000.0</v>
      </c>
      <c r="D30" s="7">
        <v>974000.0</v>
      </c>
      <c r="E30" s="7">
        <v>0.49</v>
      </c>
      <c r="F30" s="7">
        <v>0.19</v>
      </c>
      <c r="G30" s="7">
        <f t="shared" si="2"/>
        <v>1987755.102</v>
      </c>
      <c r="H30" s="1">
        <f t="shared" si="3"/>
        <v>0.1095878555</v>
      </c>
      <c r="I30" s="8">
        <f t="shared" si="4"/>
        <v>0.3193326489</v>
      </c>
      <c r="J30" s="10">
        <f t="shared" si="5"/>
        <v>-0.009838279266</v>
      </c>
      <c r="K30" s="7">
        <f t="shared" si="9"/>
        <v>1545469.757</v>
      </c>
      <c r="L30" s="1">
        <f t="shared" si="6"/>
        <v>1051950.806</v>
      </c>
      <c r="M30" s="9">
        <f t="shared" si="7"/>
        <v>1550325.134</v>
      </c>
      <c r="N30" s="9">
        <f t="shared" ref="N30:O30" si="36">0.72*L30</f>
        <v>757404.5802</v>
      </c>
      <c r="O30" s="9">
        <f t="shared" si="36"/>
        <v>1116234.097</v>
      </c>
    </row>
    <row r="31">
      <c r="A31" s="5" t="s">
        <v>44</v>
      </c>
      <c r="B31" s="7">
        <v>346000.0</v>
      </c>
      <c r="C31" s="7">
        <v>515000.0</v>
      </c>
      <c r="D31" s="7">
        <v>249000.0</v>
      </c>
      <c r="E31" s="7">
        <v>0.35</v>
      </c>
      <c r="F31" s="7">
        <v>0.11</v>
      </c>
      <c r="G31" s="7">
        <f t="shared" si="2"/>
        <v>711428.5714</v>
      </c>
      <c r="H31" s="1">
        <f t="shared" si="3"/>
        <v>0.03922210105</v>
      </c>
      <c r="I31" s="8">
        <f t="shared" si="4"/>
        <v>0.5136546185</v>
      </c>
      <c r="J31" s="7">
        <f t="shared" si="5"/>
        <v>0.5375293198</v>
      </c>
      <c r="K31" s="7">
        <f t="shared" si="9"/>
        <v>553132.1944</v>
      </c>
      <c r="L31" s="1">
        <f t="shared" si="6"/>
        <v>269013.2881</v>
      </c>
      <c r="M31" s="9">
        <f t="shared" si="7"/>
        <v>400409.9519</v>
      </c>
      <c r="N31" s="9">
        <f t="shared" ref="N31:O31" si="37">0.72*L31</f>
        <v>193689.5674</v>
      </c>
      <c r="O31" s="9">
        <f t="shared" si="37"/>
        <v>288295.1654</v>
      </c>
    </row>
    <row r="32">
      <c r="A32" s="5" t="s">
        <v>45</v>
      </c>
      <c r="B32" s="7">
        <v>9000.0</v>
      </c>
      <c r="C32" s="7">
        <v>16000.0</v>
      </c>
      <c r="D32" s="7">
        <v>6000.0</v>
      </c>
      <c r="E32" s="7">
        <v>0.3</v>
      </c>
      <c r="F32" s="7">
        <v>0.1</v>
      </c>
      <c r="G32" s="7">
        <f t="shared" si="2"/>
        <v>20000</v>
      </c>
      <c r="H32" s="1">
        <f t="shared" si="3"/>
        <v>0.001102629347</v>
      </c>
      <c r="I32" s="8">
        <f t="shared" si="4"/>
        <v>0.55</v>
      </c>
      <c r="J32" s="7">
        <f t="shared" si="5"/>
        <v>0.3636363636</v>
      </c>
      <c r="K32" s="7">
        <f t="shared" si="9"/>
        <v>15549.90105</v>
      </c>
      <c r="L32" s="1">
        <f t="shared" si="6"/>
        <v>6997.455471</v>
      </c>
      <c r="M32" s="9">
        <f t="shared" si="7"/>
        <v>12439.92084</v>
      </c>
      <c r="N32" s="9">
        <f t="shared" ref="N32:O32" si="38">0.72*L32</f>
        <v>5038.167939</v>
      </c>
      <c r="O32" s="9">
        <f t="shared" si="38"/>
        <v>8956.743003</v>
      </c>
    </row>
    <row r="33">
      <c r="A33" s="5" t="s">
        <v>46</v>
      </c>
      <c r="B33" s="7">
        <v>317000.0</v>
      </c>
      <c r="C33" s="7">
        <v>489000.0</v>
      </c>
      <c r="D33" s="7">
        <v>228000.0</v>
      </c>
      <c r="E33" s="7">
        <v>0.38</v>
      </c>
      <c r="F33" s="7">
        <v>0.11</v>
      </c>
      <c r="G33" s="7">
        <f t="shared" si="2"/>
        <v>600000</v>
      </c>
      <c r="H33" s="1">
        <f t="shared" si="3"/>
        <v>0.03307888041</v>
      </c>
      <c r="I33" s="8">
        <f t="shared" si="4"/>
        <v>0.4716666667</v>
      </c>
      <c r="J33" s="7">
        <f t="shared" si="5"/>
        <v>0.3922261484</v>
      </c>
      <c r="K33" s="7">
        <f t="shared" si="9"/>
        <v>466497.0314</v>
      </c>
      <c r="L33" s="1">
        <f t="shared" si="6"/>
        <v>246465.9316</v>
      </c>
      <c r="M33" s="9">
        <f t="shared" si="7"/>
        <v>380195.0806</v>
      </c>
      <c r="N33" s="9">
        <f t="shared" ref="N33:O33" si="39">0.72*L33</f>
        <v>177455.4707</v>
      </c>
      <c r="O33" s="9">
        <f t="shared" si="39"/>
        <v>273740.458</v>
      </c>
    </row>
    <row r="34">
      <c r="A34" s="5" t="s">
        <v>47</v>
      </c>
      <c r="B34" s="7">
        <v>123000.0</v>
      </c>
      <c r="C34" s="7">
        <v>170000.0</v>
      </c>
      <c r="D34" s="7">
        <v>88000.0</v>
      </c>
      <c r="E34" s="7">
        <v>0.33</v>
      </c>
      <c r="F34" s="7">
        <v>0.1</v>
      </c>
      <c r="G34" s="7">
        <f t="shared" si="2"/>
        <v>266666.6667</v>
      </c>
      <c r="H34" s="1">
        <f t="shared" si="3"/>
        <v>0.01470172463</v>
      </c>
      <c r="I34" s="8">
        <f t="shared" si="4"/>
        <v>0.53875</v>
      </c>
      <c r="J34" s="7">
        <f t="shared" si="5"/>
        <v>0.6728538283</v>
      </c>
      <c r="K34" s="7">
        <f t="shared" si="9"/>
        <v>207332.0139</v>
      </c>
      <c r="L34" s="1">
        <f t="shared" si="6"/>
        <v>95631.89143</v>
      </c>
      <c r="M34" s="9">
        <f t="shared" si="7"/>
        <v>132174.1589</v>
      </c>
      <c r="N34" s="9">
        <f t="shared" ref="N34:O34" si="40">0.72*L34</f>
        <v>68854.96183</v>
      </c>
      <c r="O34" s="9">
        <f t="shared" si="40"/>
        <v>95165.3944</v>
      </c>
    </row>
    <row r="35">
      <c r="A35" s="5" t="s">
        <v>48</v>
      </c>
      <c r="B35" s="7">
        <v>232000.0</v>
      </c>
      <c r="C35" s="7">
        <v>356000.0</v>
      </c>
      <c r="D35" s="7">
        <v>167000.0</v>
      </c>
      <c r="E35" s="7">
        <v>0.34</v>
      </c>
      <c r="F35" s="7">
        <v>0.12</v>
      </c>
      <c r="G35" s="7">
        <f t="shared" si="2"/>
        <v>491176.4706</v>
      </c>
      <c r="H35" s="1">
        <f t="shared" si="3"/>
        <v>0.02707927955</v>
      </c>
      <c r="I35" s="8">
        <f t="shared" si="4"/>
        <v>0.5276646707</v>
      </c>
      <c r="J35" s="7">
        <f t="shared" si="5"/>
        <v>0.521561507</v>
      </c>
      <c r="K35" s="7">
        <f t="shared" si="9"/>
        <v>381887.2757</v>
      </c>
      <c r="L35" s="1">
        <f t="shared" si="6"/>
        <v>180378.8521</v>
      </c>
      <c r="M35" s="9">
        <f t="shared" si="7"/>
        <v>276788.2386</v>
      </c>
      <c r="N35" s="9">
        <f t="shared" ref="N35:O35" si="41">0.72*L35</f>
        <v>129872.7735</v>
      </c>
      <c r="O35" s="9">
        <f t="shared" si="41"/>
        <v>199287.5318</v>
      </c>
    </row>
    <row r="36">
      <c r="A36" s="5" t="s">
        <v>49</v>
      </c>
      <c r="B36" s="7">
        <v>372000.0</v>
      </c>
      <c r="C36" s="7">
        <v>568000.0</v>
      </c>
      <c r="D36" s="7">
        <v>268000.0</v>
      </c>
      <c r="E36" s="7">
        <v>0.33</v>
      </c>
      <c r="F36" s="7">
        <v>0.09</v>
      </c>
      <c r="G36" s="7">
        <f t="shared" si="2"/>
        <v>812121.2121</v>
      </c>
      <c r="H36" s="1">
        <f t="shared" si="3"/>
        <v>0.04477343409</v>
      </c>
      <c r="I36" s="8">
        <f t="shared" si="4"/>
        <v>0.5419402985</v>
      </c>
      <c r="J36" s="7">
        <f t="shared" si="5"/>
        <v>0.5546681355</v>
      </c>
      <c r="K36" s="7">
        <f t="shared" si="9"/>
        <v>631420.2243</v>
      </c>
      <c r="L36" s="1">
        <f t="shared" si="6"/>
        <v>289228.1595</v>
      </c>
      <c r="M36" s="9">
        <f t="shared" si="7"/>
        <v>441617.1897</v>
      </c>
      <c r="N36" s="9">
        <f t="shared" ref="N36:O36" si="42">0.72*L36</f>
        <v>208244.2748</v>
      </c>
      <c r="O36" s="9">
        <f t="shared" si="42"/>
        <v>317964.3766</v>
      </c>
    </row>
    <row r="37">
      <c r="A37" s="5" t="s">
        <v>50</v>
      </c>
      <c r="B37" s="7">
        <v>39000.0</v>
      </c>
      <c r="C37" s="7">
        <v>67000.0</v>
      </c>
      <c r="D37" s="7">
        <v>28000.0</v>
      </c>
      <c r="E37" s="7">
        <v>0.4</v>
      </c>
      <c r="F37" s="7">
        <v>0.14</v>
      </c>
      <c r="G37" s="7">
        <f t="shared" si="2"/>
        <v>70000</v>
      </c>
      <c r="H37" s="1">
        <f t="shared" si="3"/>
        <v>0.003859202714</v>
      </c>
      <c r="I37" s="8">
        <f t="shared" si="4"/>
        <v>0.4428571429</v>
      </c>
      <c r="J37" s="7">
        <f t="shared" si="5"/>
        <v>0.09677419355</v>
      </c>
      <c r="K37" s="7">
        <f t="shared" si="9"/>
        <v>54424.65366</v>
      </c>
      <c r="L37" s="1">
        <f t="shared" si="6"/>
        <v>30322.30704</v>
      </c>
      <c r="M37" s="9">
        <f t="shared" si="7"/>
        <v>52092.1685</v>
      </c>
      <c r="N37" s="9">
        <f t="shared" ref="N37:O37" si="43">0.72*L37</f>
        <v>21832.06107</v>
      </c>
      <c r="O37" s="9">
        <f t="shared" si="43"/>
        <v>37506.36132</v>
      </c>
    </row>
    <row r="38">
      <c r="A38" s="5" t="s">
        <v>51</v>
      </c>
      <c r="B38" s="7">
        <v>16000.0</v>
      </c>
      <c r="C38" s="7">
        <v>26000.0</v>
      </c>
      <c r="D38" s="7">
        <v>12000.0</v>
      </c>
      <c r="E38" s="7">
        <v>0.33</v>
      </c>
      <c r="F38" s="7">
        <v>0.1</v>
      </c>
      <c r="G38" s="7">
        <f t="shared" si="2"/>
        <v>36363.63636</v>
      </c>
      <c r="H38" s="1">
        <f t="shared" si="3"/>
        <v>0.002004780631</v>
      </c>
      <c r="I38" s="8">
        <f t="shared" si="4"/>
        <v>0.56</v>
      </c>
      <c r="J38" s="7">
        <f t="shared" si="5"/>
        <v>0.5089285714</v>
      </c>
      <c r="K38" s="7">
        <f t="shared" si="9"/>
        <v>28272.54736</v>
      </c>
      <c r="L38" s="1">
        <f t="shared" si="6"/>
        <v>12439.92084</v>
      </c>
      <c r="M38" s="9">
        <f t="shared" si="7"/>
        <v>20214.87136</v>
      </c>
      <c r="N38" s="9">
        <f t="shared" ref="N38:O38" si="44">0.72*L38</f>
        <v>8956.743003</v>
      </c>
      <c r="O38" s="9">
        <f t="shared" si="44"/>
        <v>14554.70738</v>
      </c>
    </row>
    <row r="39">
      <c r="A39" s="5" t="s">
        <v>52</v>
      </c>
      <c r="B39" s="7">
        <v>44000.0</v>
      </c>
      <c r="C39" s="7">
        <v>65000.0</v>
      </c>
      <c r="D39" s="7">
        <v>32000.0</v>
      </c>
      <c r="E39" s="7">
        <v>0.31</v>
      </c>
      <c r="F39" s="7">
        <v>0.08</v>
      </c>
      <c r="G39" s="7">
        <f t="shared" si="2"/>
        <v>103225.8065</v>
      </c>
      <c r="H39" s="1">
        <f t="shared" si="3"/>
        <v>0.005690990178</v>
      </c>
      <c r="I39" s="8">
        <f t="shared" si="4"/>
        <v>0.57375</v>
      </c>
      <c r="J39" s="7">
        <f t="shared" si="5"/>
        <v>0.6454248366</v>
      </c>
      <c r="K39" s="7">
        <f t="shared" si="9"/>
        <v>80257.55379</v>
      </c>
      <c r="L39" s="1">
        <f t="shared" si="6"/>
        <v>34209.7823</v>
      </c>
      <c r="M39" s="9">
        <f t="shared" si="7"/>
        <v>50537.1784</v>
      </c>
      <c r="N39" s="9">
        <f t="shared" ref="N39:O39" si="45">0.72*L39</f>
        <v>24631.04326</v>
      </c>
      <c r="O39" s="9">
        <f t="shared" si="45"/>
        <v>36386.76845</v>
      </c>
    </row>
    <row r="40">
      <c r="A40" s="5" t="s">
        <v>53</v>
      </c>
      <c r="B40" s="7">
        <v>35000.0</v>
      </c>
      <c r="C40" s="7">
        <v>49000.0</v>
      </c>
      <c r="D40" s="7">
        <v>25000.0</v>
      </c>
      <c r="E40" s="7">
        <v>0.43</v>
      </c>
      <c r="F40" s="7">
        <v>0.14</v>
      </c>
      <c r="G40" s="7">
        <f t="shared" si="2"/>
        <v>58139.53488</v>
      </c>
      <c r="H40" s="1">
        <f t="shared" si="3"/>
        <v>0.003205317869</v>
      </c>
      <c r="I40" s="8">
        <f t="shared" si="4"/>
        <v>0.398</v>
      </c>
      <c r="J40" s="7">
        <f t="shared" si="5"/>
        <v>0.3949748744</v>
      </c>
      <c r="K40" s="7">
        <f t="shared" si="9"/>
        <v>45203.20072</v>
      </c>
      <c r="L40" s="1">
        <f t="shared" si="6"/>
        <v>27212.32683</v>
      </c>
      <c r="M40" s="9">
        <f t="shared" si="7"/>
        <v>38097.25756</v>
      </c>
      <c r="N40" s="9">
        <f t="shared" ref="N40:O40" si="46">0.72*L40</f>
        <v>19592.87532</v>
      </c>
      <c r="O40" s="9">
        <f t="shared" si="46"/>
        <v>27430.02545</v>
      </c>
    </row>
    <row r="41">
      <c r="A41" s="5" t="s">
        <v>54</v>
      </c>
      <c r="B41" s="7">
        <v>259000.0</v>
      </c>
      <c r="C41" s="7">
        <v>397000.0</v>
      </c>
      <c r="D41" s="7">
        <v>187000.0</v>
      </c>
      <c r="E41" s="7">
        <v>0.34</v>
      </c>
      <c r="F41" s="7">
        <v>0.09</v>
      </c>
      <c r="G41" s="7">
        <f t="shared" si="2"/>
        <v>550000</v>
      </c>
      <c r="H41" s="1">
        <f t="shared" si="3"/>
        <v>0.03032230704</v>
      </c>
      <c r="I41" s="8">
        <f t="shared" si="4"/>
        <v>0.5290909091</v>
      </c>
      <c r="J41" s="7">
        <f t="shared" si="5"/>
        <v>0.5257731959</v>
      </c>
      <c r="K41" s="7">
        <f t="shared" si="9"/>
        <v>427622.2788</v>
      </c>
      <c r="L41" s="1">
        <f t="shared" si="6"/>
        <v>201371.2185</v>
      </c>
      <c r="M41" s="9">
        <f t="shared" si="7"/>
        <v>308665.5358</v>
      </c>
      <c r="N41" s="9">
        <f t="shared" ref="N41:O41" si="47">0.72*L41</f>
        <v>144987.2774</v>
      </c>
      <c r="O41" s="9">
        <f t="shared" si="47"/>
        <v>222239.1858</v>
      </c>
    </row>
    <row r="42">
      <c r="A42" s="5" t="s">
        <v>55</v>
      </c>
      <c r="B42" s="7">
        <v>291000.0</v>
      </c>
      <c r="C42" s="7">
        <v>434000.0</v>
      </c>
      <c r="D42" s="7">
        <v>210000.0</v>
      </c>
      <c r="E42" s="7">
        <v>0.36</v>
      </c>
      <c r="F42" s="7">
        <v>0.11</v>
      </c>
      <c r="G42" s="7">
        <f t="shared" si="2"/>
        <v>583333.3333</v>
      </c>
      <c r="H42" s="1">
        <f t="shared" si="3"/>
        <v>0.03216002262</v>
      </c>
      <c r="I42" s="8">
        <f t="shared" si="4"/>
        <v>0.5011428571</v>
      </c>
      <c r="J42" s="7">
        <f t="shared" si="5"/>
        <v>0.5108323831</v>
      </c>
      <c r="K42" s="7">
        <f t="shared" si="9"/>
        <v>453538.7805</v>
      </c>
      <c r="L42" s="1">
        <f t="shared" si="6"/>
        <v>226251.0602</v>
      </c>
      <c r="M42" s="9">
        <f t="shared" si="7"/>
        <v>337432.8527</v>
      </c>
      <c r="N42" s="9">
        <f t="shared" ref="N42:O42" si="48">0.72*L42</f>
        <v>162900.7634</v>
      </c>
      <c r="O42" s="9">
        <f t="shared" si="48"/>
        <v>242951.6539</v>
      </c>
    </row>
    <row r="43">
      <c r="A43" s="5" t="s">
        <v>56</v>
      </c>
      <c r="B43" s="7">
        <v>79000.0</v>
      </c>
      <c r="C43" s="7">
        <v>116000.0</v>
      </c>
      <c r="D43" s="7">
        <v>57000.0</v>
      </c>
      <c r="E43" s="7">
        <v>0.34</v>
      </c>
      <c r="F43" s="7">
        <v>0.11</v>
      </c>
      <c r="G43" s="7">
        <f t="shared" si="2"/>
        <v>167647.0588</v>
      </c>
      <c r="H43" s="1">
        <f t="shared" si="3"/>
        <v>0.009242628349</v>
      </c>
      <c r="I43" s="8">
        <f t="shared" si="4"/>
        <v>0.5287719298</v>
      </c>
      <c r="J43" s="7">
        <f t="shared" si="5"/>
        <v>0.5826144658</v>
      </c>
      <c r="K43" s="7">
        <f t="shared" si="9"/>
        <v>130344.7588</v>
      </c>
      <c r="L43" s="1">
        <f t="shared" si="6"/>
        <v>61422.10913</v>
      </c>
      <c r="M43" s="9">
        <f t="shared" si="7"/>
        <v>90189.42607</v>
      </c>
      <c r="N43" s="9">
        <f t="shared" ref="N43:O43" si="49">0.72*L43</f>
        <v>44223.91858</v>
      </c>
      <c r="O43" s="9">
        <f t="shared" si="49"/>
        <v>64936.38677</v>
      </c>
    </row>
    <row r="44">
      <c r="A44" s="1" t="s">
        <v>57</v>
      </c>
      <c r="B44" s="7">
        <v>187000.0</v>
      </c>
      <c r="C44" s="7">
        <v>261000.0</v>
      </c>
      <c r="D44" s="7">
        <v>135000.0</v>
      </c>
      <c r="E44" s="7">
        <v>0.52</v>
      </c>
      <c r="F44" s="7">
        <v>0.18</v>
      </c>
      <c r="G44" s="7">
        <f t="shared" si="2"/>
        <v>259615.3846</v>
      </c>
      <c r="H44" s="1">
        <f t="shared" si="3"/>
        <v>0.0143129771</v>
      </c>
      <c r="I44" s="8">
        <f t="shared" si="4"/>
        <v>0.2797037037</v>
      </c>
      <c r="J44" s="10">
        <f t="shared" si="5"/>
        <v>-0.01906779661</v>
      </c>
      <c r="K44" s="7">
        <f t="shared" si="9"/>
        <v>201849.677</v>
      </c>
      <c r="L44" s="1">
        <f t="shared" si="6"/>
        <v>145391.5748</v>
      </c>
      <c r="M44" s="9">
        <f t="shared" si="7"/>
        <v>202926.2087</v>
      </c>
      <c r="N44" s="9">
        <f t="shared" ref="N44:O44" si="50">0.72*L44</f>
        <v>104681.9338</v>
      </c>
      <c r="O44" s="9">
        <f t="shared" si="50"/>
        <v>146106.8702</v>
      </c>
    </row>
  </sheetData>
  <conditionalFormatting sqref="A1:A44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58</v>
      </c>
      <c r="B1" s="12"/>
    </row>
    <row r="2">
      <c r="A2" s="13" t="s">
        <v>59</v>
      </c>
      <c r="B2" s="14"/>
    </row>
    <row r="3">
      <c r="A3" s="15" t="s">
        <v>60</v>
      </c>
      <c r="B3" s="15"/>
    </row>
    <row r="4">
      <c r="A4" s="15" t="s">
        <v>61</v>
      </c>
    </row>
    <row r="5">
      <c r="A5" s="15" t="s">
        <v>62</v>
      </c>
    </row>
  </sheetData>
  <hyperlinks>
    <hyperlink r:id="rId1" location="people-at-risk-of-having-cbpp-anchor" ref="A2"/>
  </hyperlinks>
  <drawing r:id="rId2"/>
</worksheet>
</file>